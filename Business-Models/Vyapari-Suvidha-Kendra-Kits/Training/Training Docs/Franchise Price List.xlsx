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s Details" sheetId="1" r:id="rId4"/>
    <sheet state="visible" name="Pvt Ltd Company Reg State Wise " sheetId="2" r:id="rId5"/>
    <sheet state="visible" name="NGO Reg State Wise Fees" sheetId="3" r:id="rId6"/>
    <sheet state="visible" name="Certifications" sheetId="4" r:id="rId7"/>
    <sheet state="visible" name="LLP" sheetId="5" r:id="rId8"/>
    <sheet state="visible" name="Company Services" sheetId="6" r:id="rId9"/>
    <sheet state="visible" name="Packages" sheetId="7" r:id="rId10"/>
    <sheet state="visible" name="ISO Rate List" sheetId="8" r:id="rId11"/>
    <sheet state="visible" name="Updated Docx List" sheetId="9" r:id="rId12"/>
    <sheet state="visible" name="Extra" sheetId="10" r:id="rId13"/>
    <sheet state="visible" name="Accounting Rate List" sheetId="11" r:id="rId14"/>
    <sheet state="visible" name="Document Details" sheetId="12" r:id="rId15"/>
    <sheet state="visible" name="Penalty " sheetId="13" r:id="rId16"/>
    <sheet state="visible" name="Website" sheetId="14" r:id="rId17"/>
    <sheet state="visible" name="Annual Mandatory Filings" sheetId="15" r:id="rId18"/>
  </sheets>
  <definedNames>
    <definedName hidden="1" localSheetId="0" name="Z_E6E75B66_3438_43FD_AFAB_385569EB836E_.wvu.FilterData">'Fees Details'!$A$1:$H$21</definedName>
  </definedNames>
  <calcPr/>
  <customWorkbookViews>
    <customWorkbookView activeSheetId="0" maximized="1" windowHeight="0" windowWidth="0" guid="{E6E75B66-3438-43FD-AFAB-385569EB836E}" name="Filter 1"/>
  </customWorkbookViews>
  <extLst>
    <ext uri="GoogleSheetsCustomDataVersion2">
      <go:sheetsCustomData xmlns:go="http://customooxmlschemas.google.com/" r:id="rId19" roundtripDataChecksum="WB87a/zuFx4R9yJMY9JIluCPs70usHkGqkA+Xg7cef4="/>
    </ext>
  </extLst>
</workbook>
</file>

<file path=xl/sharedStrings.xml><?xml version="1.0" encoding="utf-8"?>
<sst xmlns="http://schemas.openxmlformats.org/spreadsheetml/2006/main" count="1764" uniqueCount="988">
  <si>
    <t xml:space="preserve">  </t>
  </si>
  <si>
    <t>Service Name</t>
  </si>
  <si>
    <t>Total Fee</t>
  </si>
  <si>
    <t>Validity</t>
  </si>
  <si>
    <t>Gov. Fees</t>
  </si>
  <si>
    <t>Our Charges</t>
  </si>
  <si>
    <t>Process Time</t>
  </si>
  <si>
    <t>Annual Package</t>
  </si>
  <si>
    <t>Last Filing Date</t>
  </si>
  <si>
    <t>Penalty</t>
  </si>
  <si>
    <t>Documents We Provide</t>
  </si>
  <si>
    <t>Documents Needed</t>
  </si>
  <si>
    <t>Payment Method</t>
  </si>
  <si>
    <t>Benefits</t>
  </si>
  <si>
    <t>Tax Services</t>
  </si>
  <si>
    <t>GST Registration</t>
  </si>
  <si>
    <t>One Time</t>
  </si>
  <si>
    <t>Nil</t>
  </si>
  <si>
    <t>7-8 Days</t>
  </si>
  <si>
    <t>GST Return Filing Per Month(NIL)</t>
  </si>
  <si>
    <t>Monthly</t>
  </si>
  <si>
    <t>1 Day</t>
  </si>
  <si>
    <t>20 every month</t>
  </si>
  <si>
    <t>20 Rs/Day for Nil, 50Rs/Day  Normal</t>
  </si>
  <si>
    <t>NA</t>
  </si>
  <si>
    <t>Bills in pdf or excel</t>
  </si>
  <si>
    <t>GST Return Filing( 1-15 Bills)</t>
  </si>
  <si>
    <t>2 Day</t>
  </si>
  <si>
    <t>GST Return Filing(up to 50 Invoice)</t>
  </si>
  <si>
    <t xml:space="preserve">3 Day </t>
  </si>
  <si>
    <t>GST Return Filing(up to 100 Invoice)</t>
  </si>
  <si>
    <t>GST Return Filing(up to 150 Invoice)</t>
  </si>
  <si>
    <t>GST Audit(Annual Return/9C)</t>
  </si>
  <si>
    <t>Annualy</t>
  </si>
  <si>
    <t>15 Day</t>
  </si>
  <si>
    <t>GST Refund(Turnover Up to 5 CR)</t>
  </si>
  <si>
    <t>GST Refund(TurnoverMore than 5 CR)</t>
  </si>
  <si>
    <t>Amendendt of GST Registration(Change in Non-Core Field)</t>
  </si>
  <si>
    <t>Amendendt of GST Registration(Change in Core Field)</t>
  </si>
  <si>
    <t>Amendendt of GST Registration(Change From Composite to Regular Scheme)</t>
  </si>
  <si>
    <t>GST Surrender or Cancellation(Applicable for Entities With No Activities)</t>
  </si>
  <si>
    <t>GST Surrender or Cancellation(Complete Managed Cancellation Services)</t>
  </si>
  <si>
    <t>GST Surrender or Cancellation(Complete Managed Cancellation Services With Notice)</t>
  </si>
  <si>
    <t>GST Revocation of Cancellation Registration</t>
  </si>
  <si>
    <t>EPFO Return Filing(0 Employees)</t>
  </si>
  <si>
    <t>15 every month</t>
  </si>
  <si>
    <t>EPFO Return Filing(Upto 20 Employees)</t>
  </si>
  <si>
    <t>EPFO Return Filing(Above 20 Employees)</t>
  </si>
  <si>
    <t>Income Tax Services</t>
  </si>
  <si>
    <t>ITR For Individual/ Salaried Person(ITR-1) (Upto 10 lakh Salary)</t>
  </si>
  <si>
    <t>July 31 Every Year</t>
  </si>
  <si>
    <t>1000/year</t>
  </si>
  <si>
    <t>ITR For Individual/ Salaried Person(ITR-1)(10-50 lakh Salary)</t>
  </si>
  <si>
    <t>ITR For Individual/ Salaried Person(ITR-1)(50 lakh -1 crore Salary)</t>
  </si>
  <si>
    <t>Income Tax Audit &amp; Return For Business(T.&amp;C.)(Upto 10 lakh)</t>
  </si>
  <si>
    <t>10 Day</t>
  </si>
  <si>
    <t>Income Tax Audit &amp; Return For Business(T.&amp;C.)(10-50 lakh )</t>
  </si>
  <si>
    <t>Income Tax Audit &amp; Return For Business(T.&amp;C.)(50 lakh - 1Cr)</t>
  </si>
  <si>
    <t>TDS Return Filling(Minimum 2000 or 10% of Refund, which is higer in both.)</t>
  </si>
  <si>
    <t>Every Time</t>
  </si>
  <si>
    <t>PAN Registration</t>
  </si>
  <si>
    <t>TAN Registration</t>
  </si>
  <si>
    <t>Business Registration</t>
  </si>
  <si>
    <t>Shop Act Registartion (Government Fees Excluded)</t>
  </si>
  <si>
    <t>State Wise</t>
  </si>
  <si>
    <t>Properitorship Registartion(GST+MSME)</t>
  </si>
  <si>
    <t>4-5 Day</t>
  </si>
  <si>
    <t>Partnership Registartion (Only Soft Copy Deed and Pan Card) GST(Optional)</t>
  </si>
  <si>
    <t>Private Limited Company Registartion(FOR OPC) For 1 Director</t>
  </si>
  <si>
    <t>10-15 Day</t>
  </si>
  <si>
    <t>Private Limited Company Registartion(Up to 3 Director)</t>
  </si>
  <si>
    <t>Public Limited Company Registartion(FOR 7 Director)</t>
  </si>
  <si>
    <t>Limited Libalitiy Partnership (LLP) Registration(Upto 3 Partner)</t>
  </si>
  <si>
    <t>Udyog Aadhar (MSME) Registration</t>
  </si>
  <si>
    <t>Nidhi Company Registration(FOR 3 Director &amp; 4 Members)</t>
  </si>
  <si>
    <t>15-20 Day</t>
  </si>
  <si>
    <t>Micro Finance</t>
  </si>
  <si>
    <t>farma producer company</t>
  </si>
  <si>
    <t>Non Banking finance Company(NBFC)</t>
  </si>
  <si>
    <t>NGO Registration(Section 8 Act)</t>
  </si>
  <si>
    <t>Trust Registration Only Soft Copy Deed and Pan Card</t>
  </si>
  <si>
    <t>2-3 Day</t>
  </si>
  <si>
    <t>Society Registration Only Soft Copy Deed and Pan Card</t>
  </si>
  <si>
    <t>GEM Registration</t>
  </si>
  <si>
    <t>CPPP</t>
  </si>
  <si>
    <t>License &amp; Certifications</t>
  </si>
  <si>
    <t>Digital Signature(DSC) Normal(Class 3, Signing Only) With token</t>
  </si>
  <si>
    <t>1400+ Delivery Fee</t>
  </si>
  <si>
    <t>2 years</t>
  </si>
  <si>
    <t>275+ Delivery Charges</t>
  </si>
  <si>
    <t>Digital Signature(DSC) Combo(Class 3 , Signing + Encryption) (For Government Tender Use) With token</t>
  </si>
  <si>
    <t>2000+ Delivery Fee</t>
  </si>
  <si>
    <t>1235 + Delivery Charges</t>
  </si>
  <si>
    <t>Organization Digital Signature(DSC) Combo (Class 3 , Signing + Encryption) (For Government Tender Use) With token</t>
  </si>
  <si>
    <t>Trademark Registartion (Filing + Objection Handling, Opposition handling not included)</t>
  </si>
  <si>
    <t>10 Years</t>
  </si>
  <si>
    <t>12-18 Months</t>
  </si>
  <si>
    <t>Fssai Basic Registration(Under 12 lac turnover)</t>
  </si>
  <si>
    <t>1 Year</t>
  </si>
  <si>
    <t>7-8 Day</t>
  </si>
  <si>
    <t>FSSAI Registration(State)(Depend on Business and Their Production Capacity)(Above 12 lac turnover)</t>
  </si>
  <si>
    <t>1000 + govt fee</t>
  </si>
  <si>
    <t>Business Wise</t>
  </si>
  <si>
    <t>FSSAI Registration(Central)(Above 12 lac turnover)</t>
  </si>
  <si>
    <t>20-25 Day</t>
  </si>
  <si>
    <t>FSSAI Renewal Registration</t>
  </si>
  <si>
    <t>Same</t>
  </si>
  <si>
    <t>5-7 Day</t>
  </si>
  <si>
    <t>Import Export Code Registration</t>
  </si>
  <si>
    <t>1-2 Day</t>
  </si>
  <si>
    <t>PF/ESIC Registration</t>
  </si>
  <si>
    <t>PF/ESIC Return Filling (0 Employee)</t>
  </si>
  <si>
    <t>PF/ESIC Return Filling (more than 20 Employee)</t>
  </si>
  <si>
    <t>Cental Excise (PAN Masala etc.) Registration</t>
  </si>
  <si>
    <t>E-Way Bill Registration</t>
  </si>
  <si>
    <t>DIN Registration</t>
  </si>
  <si>
    <t>Project Financing &amp; Loan Guidence</t>
  </si>
  <si>
    <t>Project Report For Individual</t>
  </si>
  <si>
    <t>Project Report For Business(Depend on Loan Amount)</t>
  </si>
  <si>
    <t>Monthly Accounting (Strating Fees and Depend on the Turnover)</t>
  </si>
  <si>
    <t>3-4 Day</t>
  </si>
  <si>
    <t xml:space="preserve">APEDA Registration </t>
  </si>
  <si>
    <t>Trade License</t>
  </si>
  <si>
    <t>Documents</t>
  </si>
  <si>
    <t xml:space="preserve">Removal direcotr </t>
  </si>
  <si>
    <t>S.No.</t>
  </si>
  <si>
    <t>State Name</t>
  </si>
  <si>
    <t>Fees Up to 2 Director</t>
  </si>
  <si>
    <t>Total Fees</t>
  </si>
  <si>
    <t>Capital</t>
  </si>
  <si>
    <t>Advance Payment 75%</t>
  </si>
  <si>
    <t>Rest Due 25% Payment After Completed</t>
  </si>
  <si>
    <t>Andaman and Nicobar Islands</t>
  </si>
  <si>
    <t>1 Lakh</t>
  </si>
  <si>
    <t>Andhra Pradesh</t>
  </si>
  <si>
    <t>Arunachal Pradesh</t>
  </si>
  <si>
    <t>Assam</t>
  </si>
  <si>
    <t>Bihar</t>
  </si>
  <si>
    <t>Chandigarh</t>
  </si>
  <si>
    <t>Chhattisgarh</t>
  </si>
  <si>
    <t>Dadra &amp; Nagar Haveli</t>
  </si>
  <si>
    <t>Daman &amp; Diu</t>
  </si>
  <si>
    <t>Delhi</t>
  </si>
  <si>
    <t>Goa</t>
  </si>
  <si>
    <t>Gujarat</t>
  </si>
  <si>
    <t>Haryana</t>
  </si>
  <si>
    <t>Himachal Pradesh</t>
  </si>
  <si>
    <t>Jammu and Kashmir</t>
  </si>
  <si>
    <t>Jharkhand</t>
  </si>
  <si>
    <t>Karnataka</t>
  </si>
  <si>
    <t>Kerala</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</si>
  <si>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</si>
  <si>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</si>
  <si>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</si>
  <si>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</si>
  <si>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</si>
  <si>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</si>
  <si>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</si>
  <si>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</si>
  <si>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</si>
  <si>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</si>
  <si>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</si>
  <si>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</si>
  <si>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</si>
  <si>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</si>
  <si>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</si>
  <si>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</si>
  <si>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</si>
  <si>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</si>
  <si>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Note: More than 2 Director Fees: 1770/- per director Extra</t>
  </si>
  <si>
    <t>Employee</t>
  </si>
  <si>
    <t>Sal</t>
  </si>
  <si>
    <t>CA</t>
  </si>
  <si>
    <t>Sales</t>
  </si>
  <si>
    <t xml:space="preserve">Loss </t>
  </si>
  <si>
    <r>
      <rPr>
        <rFont val="Calibri"/>
        <b/>
        <color rgb="FF000000"/>
        <sz val="11.0"/>
      </rPr>
      <t>S.No</t>
    </r>
    <r>
      <rPr>
        <rFont val="Calibri"/>
        <b/>
        <color theme="1"/>
        <sz val="11.0"/>
      </rPr>
      <t>.</t>
    </r>
  </si>
  <si>
    <t>Note: More than 2 Director Fees: 2500/- per director Extra</t>
  </si>
  <si>
    <t>End of the NGO name Menadtory word</t>
  </si>
  <si>
    <t>Association, Society, Council, Club, Forum, Chambers, Confederation, Electoral Trust, Charities, Foundation, Academy, Institute, Organization, and Federation</t>
  </si>
  <si>
    <t>For Proprietorships</t>
  </si>
  <si>
    <t>Without GST</t>
  </si>
  <si>
    <t>Total Fees with GST</t>
  </si>
  <si>
    <t>Fssai Basic Registration</t>
  </si>
  <si>
    <t>FSSAI Registration(State)(Depend on Business and Their Production Capacity)</t>
  </si>
  <si>
    <t>FSSAI Registration(Central)</t>
  </si>
  <si>
    <t>PF+ESIC Registration</t>
  </si>
  <si>
    <t>PF/ESIC Return Filling</t>
  </si>
  <si>
    <t>Business Certifications</t>
  </si>
  <si>
    <t>For Companies</t>
  </si>
  <si>
    <t>Startup India</t>
  </si>
  <si>
    <t>NIL</t>
  </si>
  <si>
    <t>DPIIT Tax Exemption</t>
  </si>
  <si>
    <t>80IAC - Startup Tax Exemption</t>
  </si>
  <si>
    <t>DPIIT - Seed Fund Application</t>
  </si>
  <si>
    <t>For NGO</t>
  </si>
  <si>
    <t>12A(Provisinal Certificate)</t>
  </si>
  <si>
    <t>5 years</t>
  </si>
  <si>
    <t>12A(Permanent Certificate)</t>
  </si>
  <si>
    <t>80G</t>
  </si>
  <si>
    <t>Niti Ayog/NGO Darpan</t>
  </si>
  <si>
    <t>Lifetime</t>
  </si>
  <si>
    <t>E Anudaan</t>
  </si>
  <si>
    <t>CSR1 ( INC-20A is mandatory)</t>
  </si>
  <si>
    <t>CSR wih dsc ( INC-20A)</t>
  </si>
  <si>
    <t>after 3 years</t>
  </si>
  <si>
    <t xml:space="preserve">CSR without dsc </t>
  </si>
  <si>
    <t>FCRA(Registration</t>
  </si>
  <si>
    <t>FCRA(Renewal)</t>
  </si>
  <si>
    <t>CSR 1 not included</t>
  </si>
  <si>
    <t>Name of States</t>
  </si>
  <si>
    <t>Total(Including Stamp Duty Upto 1 lac capital)</t>
  </si>
  <si>
    <t>Up to ₹ 1,00,000</t>
  </si>
  <si>
    <t>₹1,00,000 - ₹5,00,000</t>
  </si>
  <si>
    <t>₹5,00,000 - ₹ 10,00,000</t>
  </si>
  <si>
    <t>₹ 10,00,000 and more</t>
  </si>
  <si>
    <t>AP (Andhra Pradesh)</t>
  </si>
  <si>
    <t>₹ 500/-</t>
  </si>
  <si>
    <t>₹ 100/-</t>
  </si>
  <si>
    <t>₹ 2,500/-</t>
  </si>
  <si>
    <t>₹ 5,000/-</t>
  </si>
  <si>
    <t>₹ 2,000/-</t>
  </si>
  <si>
    <t>₹ 2,000- ₹ 5,000/-</t>
  </si>
  <si>
    <t>1% Capital</t>
  </si>
  <si>
    <t>(Max: ₹ 5,000/-)</t>
  </si>
  <si>
    <t>(Max: ₹ 5,000/-)</t>
  </si>
  <si>
    <t>₹ 150/-</t>
  </si>
  <si>
    <t>₹ 1,000/-</t>
  </si>
  <si>
    <t>₹ 2,000-₹ 5,000/-</t>
  </si>
  <si>
    <t>₹ 6,000-₹ 10,000/-</t>
  </si>
  <si>
    <t>₹ 10,000/-</t>
  </si>
  <si>
    <t>Himachal Pradesh (H.P)</t>
  </si>
  <si>
    <t>Jammu and Kashmir (J &amp; K)</t>
  </si>
  <si>
    <t>₹ 1,000/- + (₹ 500/- For Every 5 Lacs Increase)</t>
  </si>
  <si>
    <t>Madhya Pradesh (M.P)</t>
  </si>
  <si>
    <t>₹ 5000/-</t>
  </si>
  <si>
    <t>(Minimum of ₹ 500/-)</t>
  </si>
  <si>
    <t>(₹ 15,000/- Max)</t>
  </si>
  <si>
    <t>Orissa</t>
  </si>
  <si>
    <t>₹ 200/-</t>
  </si>
  <si>
    <t>8500  or 6500</t>
  </si>
  <si>
    <t xml:space="preserve">₹ 4,000/- (₹ 50,000/- or below: ₹ 2,000/-) </t>
  </si>
  <si>
    <t>₹ 4,000- ₹ 10,000/- (₹ 2,000/- on multiple of ₹50,000/-)</t>
  </si>
  <si>
    <t>Tamil Nadu (T.N)</t>
  </si>
  <si>
    <t>₹ 300/-</t>
  </si>
  <si>
    <t>Rs 50/- Upto Rs 50,000</t>
  </si>
  <si>
    <t>Rs 100 ( Rs 50,000 - Rs 2,00,000</t>
  </si>
  <si>
    <t>Rs 200(Above Rs 2,00,000)</t>
  </si>
  <si>
    <t>UP (Uttar Pradesh)</t>
  </si>
  <si>
    <t>₹ 750/-</t>
  </si>
  <si>
    <t>WB (West Bengal)</t>
  </si>
  <si>
    <t>Service</t>
  </si>
  <si>
    <t>Last Day</t>
  </si>
  <si>
    <t>Outsource Fees</t>
  </si>
  <si>
    <t>Gov fees</t>
  </si>
  <si>
    <t>We provide</t>
  </si>
  <si>
    <t>Dcuments required</t>
  </si>
  <si>
    <t>Annual ROC Compliance &amp; Audit</t>
  </si>
  <si>
    <t>Annual</t>
  </si>
  <si>
    <t>100/day</t>
  </si>
  <si>
    <t>Registerd office Change within city</t>
  </si>
  <si>
    <t>Voluntarily</t>
  </si>
  <si>
    <t>electric rent greemtn</t>
  </si>
  <si>
    <t>Registerd office Change outside city</t>
  </si>
  <si>
    <t>1 month</t>
  </si>
  <si>
    <t>Increase in Authrised &amp; paidup capital</t>
  </si>
  <si>
    <t>Stamp Duty(State Wise)</t>
  </si>
  <si>
    <t>6 month</t>
  </si>
  <si>
    <t>stamp duty + 2000 professinal fee</t>
  </si>
  <si>
    <t>Winding of Company/LLP</t>
  </si>
  <si>
    <t>10000+5000</t>
  </si>
  <si>
    <t>Share Transfer</t>
  </si>
  <si>
    <t>As per capital</t>
  </si>
  <si>
    <t xml:space="preserve">as per capital </t>
  </si>
  <si>
    <t>Addition  Directors</t>
  </si>
  <si>
    <t>DIN nahi hai to DSC 2000</t>
  </si>
  <si>
    <t>400 govt fee</t>
  </si>
  <si>
    <t xml:space="preserve">Removal DSC </t>
  </si>
  <si>
    <t>Removal of Director</t>
  </si>
  <si>
    <t>Director KYC</t>
  </si>
  <si>
    <t>Company Name Change</t>
  </si>
  <si>
    <t>1000 INC 22+ MGT 14 + DSC + PAN + TAN change</t>
  </si>
  <si>
    <t>Alteration in AOA</t>
  </si>
  <si>
    <t>1000 +1000</t>
  </si>
  <si>
    <t>Alteration in MOA</t>
  </si>
  <si>
    <t>Filing of Business Commincement form INC-20A</t>
  </si>
  <si>
    <t xml:space="preserve">DIN Activation </t>
  </si>
  <si>
    <t>EPFO Filing</t>
  </si>
  <si>
    <t>15 of every month</t>
  </si>
  <si>
    <t>Share Certificate</t>
  </si>
  <si>
    <t>Compliance &amp; Audit</t>
  </si>
  <si>
    <t>We Provide*</t>
  </si>
  <si>
    <t>🔷1. Company Audit</t>
  </si>
  <si>
    <t>🔷2. Balance Sheet</t>
  </si>
  <si>
    <t>🔷3. Profit &amp; Loss Sheet</t>
  </si>
  <si>
    <t>🔷4. Income Expenditure Sheet</t>
  </si>
  <si>
    <t>🔷5. Company ITR</t>
  </si>
  <si>
    <t>🔷8. ADT-1 Forum File</t>
  </si>
  <si>
    <t>🔷9. AOC-4 Forum File (After End Financial Year)</t>
  </si>
  <si>
    <t>🔷10. MGT-7 Forum File (After End Financial Year)</t>
  </si>
  <si>
    <t>🔷11. All Director DIR-3 KYC (Same )</t>
  </si>
  <si>
    <t>All Work With CA Seal &amp; Sign</t>
  </si>
  <si>
    <t>Charges:  Including govt fee, Excluding Govt Penalty</t>
  </si>
  <si>
    <t>Note:-IF Not Filed These Compliances on Time then Penalty Will be Increase On every Forum Applicable.</t>
  </si>
  <si>
    <t>Annual Packages</t>
  </si>
  <si>
    <t>GST Annual Package</t>
  </si>
  <si>
    <t>EPFO Return Filing</t>
  </si>
  <si>
    <t>Combo packaes</t>
  </si>
  <si>
    <t>Combo Packages</t>
  </si>
  <si>
    <t xml:space="preserve">ISO Non IAF Certificate Service </t>
  </si>
  <si>
    <t>ISO 9001:2015 (Quality Managment Systems)</t>
  </si>
  <si>
    <t>3 Years</t>
  </si>
  <si>
    <t>2 Days</t>
  </si>
  <si>
    <t>Non-IAF</t>
  </si>
  <si>
    <t>ISO 14001:2015 (Environmental Managment Systems)</t>
  </si>
  <si>
    <t>No Survillance Charges</t>
  </si>
  <si>
    <t>ISO 45001:2018 (Occupational Health &amp; Safety Managment System)</t>
  </si>
  <si>
    <t>ISO 22000:2018 (Food Safety Managment Systems)</t>
  </si>
  <si>
    <t>Non-IAF ISO Company</t>
  </si>
  <si>
    <t>ISO 27001:2013 (Information Security Managment Systems)</t>
  </si>
  <si>
    <t xml:space="preserve">1. Star Uk </t>
  </si>
  <si>
    <r>
      <rPr>
        <rFont val="Arial"/>
        <sz val="12.0"/>
      </rPr>
      <t xml:space="preserve">Verify Website: </t>
    </r>
    <r>
      <rPr>
        <rFont val="Arial"/>
        <color rgb="FF1155CC"/>
        <sz val="12.0"/>
        <u/>
      </rPr>
      <t>http://www.stariso.co.uk/clients</t>
    </r>
  </si>
  <si>
    <t>ISO 13485:2016 (Medical Devices - Quality Management Systems)</t>
  </si>
  <si>
    <t xml:space="preserve">2. QVA  </t>
  </si>
  <si>
    <r>
      <rPr>
        <rFont val="Arial"/>
        <sz val="12.0"/>
      </rPr>
      <t xml:space="preserve">Verify Website: </t>
    </r>
    <r>
      <rPr>
        <rFont val="Arial"/>
        <color rgb="FF1155CC"/>
        <sz val="12.0"/>
        <u/>
      </rPr>
      <t>https://www.gaafs.us/certified-organizations</t>
    </r>
  </si>
  <si>
    <t>CE</t>
  </si>
  <si>
    <t>3. UKCERT</t>
  </si>
  <si>
    <t>Charges Diffrent</t>
  </si>
  <si>
    <t>GMP (Good Manufacturing Practice)</t>
  </si>
  <si>
    <t>4. ICIUK</t>
  </si>
  <si>
    <t>HACCP (Hazard Analysis and Critical Control Points)</t>
  </si>
  <si>
    <t>5.QRO</t>
  </si>
  <si>
    <t>HALAL</t>
  </si>
  <si>
    <t>6. EUROCERT</t>
  </si>
  <si>
    <t>KOSHER STANDARD - FOODS</t>
  </si>
  <si>
    <t>7. QCAS</t>
  </si>
  <si>
    <t>GHP</t>
  </si>
  <si>
    <t>8. IQC UK</t>
  </si>
  <si>
    <t>GLP (Good Laboratory Practice)</t>
  </si>
  <si>
    <t>9. ARS</t>
  </si>
  <si>
    <t>CMMI-Dev V 2.0 Maturity CMMI Level-3</t>
  </si>
  <si>
    <t xml:space="preserve">CMMI-Dev V 2.0 Maturity CMMI Level-5 </t>
  </si>
  <si>
    <t>ROHS (Directive 2002/95/EC)</t>
  </si>
  <si>
    <t>BIFMA Level-2</t>
  </si>
  <si>
    <t>BIFMA Level-3</t>
  </si>
  <si>
    <t xml:space="preserve">IATF 16949:2016 </t>
  </si>
  <si>
    <t>SA 8000 (Social Accountability)</t>
  </si>
  <si>
    <t>USFDA (US FDA Regulatory Guidlines for Scientific and Medical Instruments)</t>
  </si>
  <si>
    <t>ORGANIC</t>
  </si>
  <si>
    <t>GREEN GUARD(UL)</t>
  </si>
  <si>
    <t>WHO-GMP (As per WHO Guidelines)</t>
  </si>
  <si>
    <t>GLOBAL G.A.P</t>
  </si>
  <si>
    <t>ISO/IEC 17065:2012 (Conformity assessment-requirements for bodies certifying products, processes and services)</t>
  </si>
  <si>
    <t>SEFA</t>
  </si>
  <si>
    <t>SEFA 8</t>
  </si>
  <si>
    <t>ISO 31000:2018 (Risk Management-Guidelines)</t>
  </si>
  <si>
    <t>ISO 50001:2018 (Energy Management Systems)</t>
  </si>
  <si>
    <t>GREEN PRO (Green Product Certification)</t>
  </si>
  <si>
    <t>ISO/IEC 17020:2012 (Conformity assessment)</t>
  </si>
  <si>
    <t>ISO/IEC 27017:2015 (Information Technology — Security techniques)</t>
  </si>
  <si>
    <t>ISO/TC 309 (Governance of Organizations)</t>
  </si>
  <si>
    <t>ISO 20000-1:2018 (Information Technology Managment Systems)</t>
  </si>
  <si>
    <t>ISO 20121:2012 (Event Sustainability Managment System)</t>
  </si>
  <si>
    <t>ISO 21001:2018 (Educational Organization Managment System)</t>
  </si>
  <si>
    <t>ISO 22241-1:2019 (Diesel Engine-NOx reduction agent AUS 32- part 1)</t>
  </si>
  <si>
    <t>ISO 37000:2021 (Governance of Organizations-Guidance)</t>
  </si>
  <si>
    <t>ISO 37001:2016 (Anti-Bribery Management Systems)</t>
  </si>
  <si>
    <t>ISO 26000:2010 (Guidance of social responsibility)</t>
  </si>
  <si>
    <t>ISO 17088:2021 (Specifications for Compostable Plastics)</t>
  </si>
  <si>
    <t>ISO 10001:2018 (Quality Management — Customer Satisfaction)</t>
  </si>
  <si>
    <t>ISO 29993:2017 (Learning services outside formal education)</t>
  </si>
  <si>
    <t>ISO 18788:2015 (Management system for private security operations — Requirements with guidance for use)</t>
  </si>
  <si>
    <t xml:space="preserve">ISO 14847: 1999 ( Rotary Positive displacement pumps- Technical requirements) </t>
  </si>
  <si>
    <t>ISO 29990:2010</t>
  </si>
  <si>
    <t>BRCGS (Global supply chain Assurance)</t>
  </si>
  <si>
    <t>GRIHA (Green Rating For Integrated Habitat Assessment)</t>
  </si>
  <si>
    <t>AIOTA (All India Occupational Therapists' Association)</t>
  </si>
  <si>
    <t>BRC Global Standards- Foods (Issue 8“Grade C”)</t>
  </si>
  <si>
    <t>5S (WORKPLACE ORGANIZING MANAGEMENT SYSTEMS)</t>
  </si>
  <si>
    <t>UL (STANDARD FOR SAFETY)</t>
  </si>
  <si>
    <t>Indoor Advantage Gold</t>
  </si>
  <si>
    <t xml:space="preserve">9001:2015 =  2680/- </t>
  </si>
  <si>
    <t>FSSC 22000 (Food Safety System Certification)</t>
  </si>
  <si>
    <t>27001:2013 = 10360/-</t>
  </si>
  <si>
    <t>REACH Compliant</t>
  </si>
  <si>
    <t>20000-1:2018 = 2680/-</t>
  </si>
  <si>
    <t>SEDEX (SUPPLIER ETHICAL DATA EXCHANGE)</t>
  </si>
  <si>
    <t>ISO 16001:2017 (Earth-moving machinery-object detection systems and visibility
aids-performance requirements and tests)</t>
  </si>
  <si>
    <t>ISO 3834-2:2005 (Quality requirements for fusion welding of metallic materials)
(Part 2: Comprehensive quality requirements)</t>
  </si>
  <si>
    <t>ETL</t>
  </si>
  <si>
    <t>E1</t>
  </si>
  <si>
    <t>Combo 9001, 14001 &amp; 45001</t>
  </si>
  <si>
    <t>ISO 17100:2015 (Translation services — Requirements for translation services )</t>
  </si>
  <si>
    <t>ISO18587:2017 (Translation services )</t>
  </si>
  <si>
    <t>ISO IAF Certificate Service</t>
  </si>
  <si>
    <t>IAF</t>
  </si>
  <si>
    <t>Survillance Charges Every Year 50% of Current Fees Charges Applicable</t>
  </si>
  <si>
    <t>Body: EGAC</t>
  </si>
  <si>
    <t>IAF ISO Company</t>
  </si>
  <si>
    <t>1. ICV</t>
  </si>
  <si>
    <r>
      <rPr>
        <rFont val="Arial"/>
        <sz val="12.0"/>
      </rPr>
      <t xml:space="preserve">Verify Website: </t>
    </r>
    <r>
      <rPr>
        <rFont val="Arial"/>
        <color rgb="FF1155CC"/>
        <sz val="12.0"/>
        <u/>
      </rPr>
      <t>http://www.icvassessments.com/certified-organisation</t>
    </r>
  </si>
  <si>
    <t>2. QRO</t>
  </si>
  <si>
    <r>
      <rPr>
        <rFont val="Arial"/>
        <sz val="12.0"/>
      </rPr>
      <t xml:space="preserve">Verify Website: </t>
    </r>
    <r>
      <rPr>
        <rFont val="Arial"/>
        <color rgb="FF1155CC"/>
        <sz val="12.0"/>
        <u/>
      </rPr>
      <t>http://qrocert.org/verify.aspx</t>
    </r>
  </si>
  <si>
    <t>3. MMS</t>
  </si>
  <si>
    <t>ISO IAS-IAF Certificate Service</t>
  </si>
  <si>
    <t>IAS-IAF</t>
  </si>
  <si>
    <t>Body: IAS</t>
  </si>
  <si>
    <t>1. SCK</t>
  </si>
  <si>
    <r>
      <rPr>
        <rFont val="Arial"/>
        <sz val="12.0"/>
      </rPr>
      <t xml:space="preserve">Verify Website: </t>
    </r>
    <r>
      <rPr>
        <rFont val="Arial"/>
        <color rgb="FF1155CC"/>
        <sz val="12.0"/>
        <u/>
      </rPr>
      <t>https://sckcerts.com/search-client/</t>
    </r>
  </si>
  <si>
    <t>Note: IAS IAF Also Visible on IAF Website</t>
  </si>
  <si>
    <r>
      <rPr>
        <rFont val="Arial"/>
        <sz val="12.0"/>
      </rPr>
      <t xml:space="preserve">Verify Website: </t>
    </r>
    <r>
      <rPr>
        <rFont val="Arial"/>
        <color rgb="FF1155CC"/>
        <sz val="12.0"/>
        <u/>
      </rPr>
      <t>www.iafcertsearch.org</t>
    </r>
  </si>
  <si>
    <t>-:Company Reg:-</t>
  </si>
  <si>
    <t>Required Documents For Pvt Ltd/LLP Company Reg:-(Minimum 2 Director Required)</t>
  </si>
  <si>
    <t>All Documents Should be Required Proper in Scan PDF Format Only</t>
  </si>
  <si>
    <t>1. All Director Passport Size Photo</t>
  </si>
  <si>
    <t>2. All Director Aadhar Card</t>
  </si>
  <si>
    <t>3. All Director PAN Card</t>
  </si>
  <si>
    <t>4. Office Address Google Location With Latitude &amp; Lognitude</t>
  </si>
  <si>
    <t>5.Address Proof(Electric City Bill/Any Utility BIll or Rent Agreement if business Place</t>
  </si>
  <si>
    <t>6.Type of Company(Nature of Business)</t>
  </si>
  <si>
    <t>7. All Director Bank Account Details(Latest Bank Statment)</t>
  </si>
  <si>
    <t>8.NOC from Landlord</t>
  </si>
  <si>
    <t>9.All Director Mobile No. &amp; Mail Id(Mo.No. Should Be Linked with Aadhar)</t>
  </si>
  <si>
    <t>10. Company Authorized Capital &amp; Paid Up Capital Share Amount &amp; Director Share % Details</t>
  </si>
  <si>
    <t>11.2 Name of Company For Name Approval</t>
  </si>
  <si>
    <t>12. If Director have any other Company/NGO Director Previously then send last Complete details</t>
  </si>
  <si>
    <t>13. All Director Speciman Signature Copy on Plane  Paper</t>
  </si>
  <si>
    <t>14. Authorisation Letter</t>
  </si>
  <si>
    <t>-:Section-8 NGO Reg:-</t>
  </si>
  <si>
    <t>Required Documents For Section-8 NGO Reg:-(Minimum 2 Director Required)</t>
  </si>
  <si>
    <t>11.2 Name of NGO For Name Approval</t>
  </si>
  <si>
    <t xml:space="preserve"> -:OPC Company Registration:-</t>
  </si>
  <si>
    <t>Required Documents For OPC Pvt Ltd Company Reg:-(1 Director &amp; 1 Nominee Required)</t>
  </si>
  <si>
    <t>1. Director Passport Size Photo</t>
  </si>
  <si>
    <t>2. Director Aadhar Card</t>
  </si>
  <si>
    <t>3. Director PAN Card</t>
  </si>
  <si>
    <t>7. Director Bank Account Details(Latest Bank Statment)</t>
  </si>
  <si>
    <t>9.Director Mobile No. &amp; Mail Id(Mo.No. Should Be Linked with Aadhar)</t>
  </si>
  <si>
    <t>13. Director Speciman Signature Copy on Plane  Paper</t>
  </si>
  <si>
    <t>Nominee Details:-</t>
  </si>
  <si>
    <t>1. Nominee Passport Size Photo</t>
  </si>
  <si>
    <t>2. Nominee Aadhar Card</t>
  </si>
  <si>
    <t>3. Nominee PAN Card</t>
  </si>
  <si>
    <t>4. Nominee Bank Account Details(Latest Bank Statment)</t>
  </si>
  <si>
    <t>5.Nominee Mobile No. &amp; Mail Id(Mo.No. Should Be Linked with Aadhar)</t>
  </si>
  <si>
    <t>6.Nominee Speciman Signature Copy on Plane  Paper</t>
  </si>
  <si>
    <t>7. Authorisation Letter</t>
  </si>
  <si>
    <t>Pvt Ltd/OPC Company Reg</t>
  </si>
  <si>
    <t>We will provide you "Company PAN ,TAN , ESIC, PF, MOA &amp; AOA Certificate , All Director Of DSC , DIN , Company Name Approval , Company Registration Certificate". Request for Bank Account opening</t>
  </si>
  <si>
    <t>LLP Company Reg</t>
  </si>
  <si>
    <t>We will provide you " LLP Company PAN ,TAN , DSC , DIN , LLP Company Name Approval , LLP Company Registration Certificate"., Request for Bank Account opening ,</t>
  </si>
  <si>
    <t>NGO Reg</t>
  </si>
  <si>
    <t>We will provide you "NGO PAN ,TAN, MOA &amp; AOA Certificate , All Director Of DSC , DIN , NGO Name Approval , NGO Registration Certificate".,  Request for Bank Account opening</t>
  </si>
  <si>
    <t>Pvt Ltd Company Charges(As Per State)</t>
  </si>
  <si>
    <t>Pvt Ltd Company Reg Charges: 7000+18%gst=8260/- (Including Government Fees and Our fees) With complete work, No hidden charges</t>
  </si>
  <si>
    <t xml:space="preserve">LLP Charges For All State: </t>
  </si>
  <si>
    <t>LLP Company Reg Charges: 6000+18%gst=7080/- (Including Government Fees and Our fees) With complete work, No hidden charges</t>
  </si>
  <si>
    <t>OPC Charges(As Per State)</t>
  </si>
  <si>
    <t>OPC Company Reg Charges: 7000+18%gst=8260/- (Including Government Fees and Our fees) With complete work, No hidden charges</t>
  </si>
  <si>
    <t>NGO Charges(As Per State)</t>
  </si>
  <si>
    <t>NGO Reg Charges: 7000+18%gst=8260/- (Including Government Fees and Our fees) With complete work, No hidden charges</t>
  </si>
  <si>
    <t>New GST Reg</t>
  </si>
  <si>
    <t>Only GST Reg Charges: 1000+18% GST= 1180/-</t>
  </si>
  <si>
    <t>Annual New GST Package</t>
  </si>
  <si>
    <t>GST Annual Package: 4000+gst=4720/-(Free GST Reg and 12 month GST return file included up to 10-15 invoice or 100-150 entry in excel*)</t>
  </si>
  <si>
    <t>GST Return Annual Package</t>
  </si>
  <si>
    <t>GST Return Annual Package:3000+gst=3540/- (12 month GST return file included up to 10-15 invoice or 100-150 entery in excel*)</t>
  </si>
  <si>
    <t>GST NIL Return Annual Package</t>
  </si>
  <si>
    <t>GST NIL Return Annual Package: 2000+gst=2360/- (12 Month Nil Return file or Included 4-5 Invoice*)</t>
  </si>
  <si>
    <t>Monthly Accounting Rate List:-</t>
  </si>
  <si>
    <t>1.E-Commerce(online Amazon/Flipkart) work (Data Type In Excel Sheet):-</t>
  </si>
  <si>
    <t>a.1-500 Entry in Excel/Report Charges: 2000+18%GST=2360/-</t>
  </si>
  <si>
    <t>b.501-1500 Entry in Excel/Report Charges: 3500+18%GST=4130/-</t>
  </si>
  <si>
    <t>c.1501+ Entry in Excel/Report Charges: 5000+18%GST=5900/-</t>
  </si>
  <si>
    <t>2.Offline Work(Data Type: Bill In Photos):-</t>
  </si>
  <si>
    <t>a.1-100 Bill Photos Charges:3000+18%GST=3540/-</t>
  </si>
  <si>
    <t>b.101-300 Bill Photos Charges:4000+18%GST=4720/-</t>
  </si>
  <si>
    <t>c.301-500 Bill Photos Charges:5000+18%GST=5900/-</t>
  </si>
  <si>
    <t>3.Offline Work Without Audit(Data Type:Excel Sheet/Software Report):-</t>
  </si>
  <si>
    <t>a.1-500 Entry in Excel/Report Charges: 3000+18%GST=3540/-</t>
  </si>
  <si>
    <t>b.501-1000 Entry in Excel/Report Charges: 4000+18%GST=4720/-</t>
  </si>
  <si>
    <t>c.1001-1500 Entry in Excel/Report Charges: 5000+18%GST=5900/-</t>
  </si>
  <si>
    <t>d.1501+ Entry in Excel/Report Charges: 6000+18%GST=7080/-</t>
  </si>
  <si>
    <t>4.Offline Work With Audit(Data Type:Excel Sheet/Software Report with Invoices):-</t>
  </si>
  <si>
    <t>a.1-500 Entry in Excel/Report With Invoices Charges: 5000+18%GST=5900/-</t>
  </si>
  <si>
    <t>b.501-1000 Entry in Excel/Report With Invoices Charges: 7000+18%GST=8260/-</t>
  </si>
  <si>
    <t>c.1001-1500 Entry in Excel/Report With Invoices Charges: 9000+18%GST=10620/-</t>
  </si>
  <si>
    <t>d.1501-3000 Entry in Excel/Report With Invoices Charges: 10000+18%GST=11800/-</t>
  </si>
  <si>
    <t>-:Gst Registration :-</t>
  </si>
  <si>
    <t>Documents required for Start-up India Certification</t>
  </si>
  <si>
    <t>1. Aadhar Card</t>
  </si>
  <si>
    <t>-:Fssai Basic Registration:-</t>
  </si>
  <si>
    <t>Required Documents For Pvt Ltd/LLP Company Reg:-</t>
  </si>
  <si>
    <t>1 - Certificate of Incorporation</t>
  </si>
  <si>
    <t>2. Pan Card</t>
  </si>
  <si>
    <t>1. Passport Size Photo</t>
  </si>
  <si>
    <t>1. All Director Passport Size Photo(Minimum 2 Director Required)</t>
  </si>
  <si>
    <t>2 - All Directors Aadhaar Card</t>
  </si>
  <si>
    <t>3. Passport Size Photo</t>
  </si>
  <si>
    <t>2. Aadhar Card</t>
  </si>
  <si>
    <t>3 - All Directors Email id and Mobile Number</t>
  </si>
  <si>
    <t>4. Address Proof (electric City bill/ NOC/Rent agreement)</t>
  </si>
  <si>
    <t>3. Pan Card</t>
  </si>
  <si>
    <t>4 - Company MOA</t>
  </si>
  <si>
    <t>5. Business Name &amp; Nature of business</t>
  </si>
  <si>
    <t>4. Address Proof: Electric City Bill or {Rent Aggrement(If Place rented)}</t>
  </si>
  <si>
    <t>5 - Nature of business</t>
  </si>
  <si>
    <t>6. Mo. No. &amp; Email id</t>
  </si>
  <si>
    <t>5. Business Name</t>
  </si>
  <si>
    <t>5.Address Proof(Electric City Bill or Rent Agreement if business Place</t>
  </si>
  <si>
    <t xml:space="preserve">6. Business Work Details </t>
  </si>
  <si>
    <t>has on Rented)</t>
  </si>
  <si>
    <t>Below-mentioned documents are required for FCRA Registration:-</t>
  </si>
  <si>
    <t>7. Mo. No. &amp; Email Id</t>
  </si>
  <si>
    <t>1.Self-attested copy of incorporation certificate, trust deed, or any other certificate hold by such entity</t>
  </si>
  <si>
    <t>-:GST Return:-</t>
  </si>
  <si>
    <t xml:space="preserve"> -:FSSAI State/Central Registration:-</t>
  </si>
  <si>
    <t>8.NOC from Landlord(for rented property)</t>
  </si>
  <si>
    <t>2.Particulars of Non-Profit Organization along with the PAN.</t>
  </si>
  <si>
    <t>1. GST Login Details</t>
  </si>
  <si>
    <t>Required Documents For State FSSAI Registration:-</t>
  </si>
  <si>
    <t>3.Copy of MOA &amp; AOA of institutions, Impression of the chief judiciary (It shall be in JPG From)</t>
  </si>
  <si>
    <t>2. Sale /Purchased Invoice</t>
  </si>
  <si>
    <t>4.A detailed report on activities of the preceding 3 years.</t>
  </si>
  <si>
    <t>.</t>
  </si>
  <si>
    <t>2. PAN Card</t>
  </si>
  <si>
    <t>5.Audited copy of financial statement, P&amp;L account, Income-Expenditure details, and cash flow statement of the preceding 3 years.</t>
  </si>
  <si>
    <t xml:space="preserve"> -:ITR Return Business Person:-</t>
  </si>
  <si>
    <t>6.Certified true copies of the resolution passed by a governing body authorized by Non- profit organization.</t>
  </si>
  <si>
    <t>1. Pan Card</t>
  </si>
  <si>
    <t>-:Propritorship Firm:-</t>
  </si>
  <si>
    <t>FCRA Gov Fees: 15000/- Our Fees 10000+gst and Officer Fees 15-20k</t>
  </si>
  <si>
    <t>5. Bank passbook copy front page/ bank statement</t>
  </si>
  <si>
    <t>3. All Bank Statement Last 1 Year</t>
  </si>
  <si>
    <t>6. Business Name</t>
  </si>
  <si>
    <t>4. Policy Details(If have any)</t>
  </si>
  <si>
    <t>7. Nature of business</t>
  </si>
  <si>
    <t>5. Work Details</t>
  </si>
  <si>
    <t>8. Business proof (GSTIN Copy/MSME Copy)</t>
  </si>
  <si>
    <t>6. Any Home Loan Dedction</t>
  </si>
  <si>
    <t>9.Food item name</t>
  </si>
  <si>
    <t>7. Mobile no. &amp; mail id</t>
  </si>
  <si>
    <t>10.Blueprint/ Layout of place</t>
  </si>
  <si>
    <t>11.Machine and equipment name list and details capacity</t>
  </si>
  <si>
    <t xml:space="preserve"> -:ISO Registration:-</t>
  </si>
  <si>
    <t>12.Production unit photos</t>
  </si>
  <si>
    <t>Required Documents For Partnernship Firm Reg:-</t>
  </si>
  <si>
    <t>1. Business Name(GST Certificate Copy /Any Business Proof)</t>
  </si>
  <si>
    <t>13.Product Per day capacity details</t>
  </si>
  <si>
    <t>1. Both Partner Aadhar Card</t>
  </si>
  <si>
    <t>2. Business Address</t>
  </si>
  <si>
    <t>14. Mo. No. &amp; Email id</t>
  </si>
  <si>
    <t>2. Both Partner PAN Card</t>
  </si>
  <si>
    <t>3. Work/Scope Details</t>
  </si>
  <si>
    <t>3. Both Partner Passport Size Photo</t>
  </si>
  <si>
    <t>4. Mo. No. &amp; Email Id</t>
  </si>
  <si>
    <t>4. Address Proof (electric City bill/ Rent agreement)</t>
  </si>
  <si>
    <t>5. Courier Address</t>
  </si>
  <si>
    <t>EPFO employer id documents</t>
  </si>
  <si>
    <t>6. Both Partner Mo. No. &amp; Email id</t>
  </si>
  <si>
    <t xml:space="preserve">1.Name of Firm </t>
  </si>
  <si>
    <t>Required Documents For Psara License:-</t>
  </si>
  <si>
    <t>2. Address Proof: Electric City Bill or {Rent Aggrement(If Place rented)}</t>
  </si>
  <si>
    <t>1.Company Registration Certificate ( Propritorship/Pvt Ltd or LLP )</t>
  </si>
  <si>
    <t>8. Both Partner Bank Passbook/cancel cheque photo</t>
  </si>
  <si>
    <t>3. Aadhar Card</t>
  </si>
  <si>
    <t>2.Registration with GST</t>
  </si>
  <si>
    <t>9. Both Partner Share Capital Details</t>
  </si>
  <si>
    <t>4. Pan Card</t>
  </si>
  <si>
    <t>3.Registration of establishment under Shops &amp; Establishment</t>
  </si>
  <si>
    <t>Soft Copy Deed , FIRM Pan Card , FIRM GST (Opational) , Stamp self rahega.</t>
  </si>
  <si>
    <t>5. Mo. No. &amp; Email Id</t>
  </si>
  <si>
    <t>4.Registration under the Contractual labour Act</t>
  </si>
  <si>
    <t>Required Documents For NGO:-</t>
  </si>
  <si>
    <t>6.Start date of Firm</t>
  </si>
  <si>
    <t>5.Provident fund (PF) registration</t>
  </si>
  <si>
    <t>7.GST/MSME certificate</t>
  </si>
  <si>
    <t>6.Employees State Insurance (ESI) registration</t>
  </si>
  <si>
    <t>8. Passport Size Photo</t>
  </si>
  <si>
    <t>7.MOU with Training Institute</t>
  </si>
  <si>
    <t>9. Total Worker (Male/Female)</t>
  </si>
  <si>
    <t>8.The MOA and AOA of the company or partnership deed or such other agreement document.</t>
  </si>
  <si>
    <t>10. Nature Of Business</t>
  </si>
  <si>
    <t>9.Details of the directors(Photo, Aadhar card, Pan Card seld attested)</t>
  </si>
  <si>
    <t>10.Logo for the security agency</t>
  </si>
  <si>
    <t>Import/Export Reg</t>
  </si>
  <si>
    <t>11.The armed used or to be used details and the licenses obtained by them</t>
  </si>
  <si>
    <t>6.Type of NGO(Nature of Activity)</t>
  </si>
  <si>
    <t>Documents Required</t>
  </si>
  <si>
    <t>12. Employees details.</t>
  </si>
  <si>
    <t>13.The uniform pattern or dress code of such deputing security agents</t>
  </si>
  <si>
    <t>14.The character and background verification certificate for the employees.</t>
  </si>
  <si>
    <t>9.All Director Mobile No. &amp; Mail Id (Mo.No. Should Be Linked with Aadhar)</t>
  </si>
  <si>
    <t>3. PAN Card</t>
  </si>
  <si>
    <t>15.The board resolution or such document showing the decision taken to start a business of PSARA and duly signed by the authorized signatory of the company or organization.</t>
  </si>
  <si>
    <t>10. NGO Authorized Capital &amp; Paid Up Capital Share Amount &amp; Director Share % Details</t>
  </si>
  <si>
    <t>4. Address Proof (Electric City Bill</t>
  </si>
  <si>
    <t>16.Required affidavits as stated in PSARA act.</t>
  </si>
  <si>
    <t>5. Proof of Registerd office.</t>
  </si>
  <si>
    <t>17.4 Angle Side photo with complete dress, logo and white background.</t>
  </si>
  <si>
    <t>6. Firm Cancel cheque</t>
  </si>
  <si>
    <t>18.Address proof of the place of the business</t>
  </si>
  <si>
    <t>Documents For Trust Reg.</t>
  </si>
  <si>
    <t xml:space="preserve">7. Work details </t>
  </si>
  <si>
    <t>1.Proof of Identity for Trustor &amp; Trustee-Aadhaar Card/Voter ID/Passport/Driving License</t>
  </si>
  <si>
    <t>8. Mo. No. And Email id</t>
  </si>
  <si>
    <t>Charges:-</t>
  </si>
  <si>
    <t>2.Address Proof of Registered Office- Copy of Certificate of Property/Utility Bills (Telephone, Water, Electricity Bill)</t>
  </si>
  <si>
    <t>Govt Fees –</t>
  </si>
  <si>
    <t>3.In the case of rented property, Rent Agreement/NOC from the Landlord is required.</t>
  </si>
  <si>
    <t>Rs. 25,000 For One State (Only Psara License)</t>
  </si>
  <si>
    <t>4.Objective of the Trust Deed.</t>
  </si>
  <si>
    <t>Trademark</t>
  </si>
  <si>
    <t>Validity: 5 Years</t>
  </si>
  <si>
    <t>5.Particulars of the Trustee and settlor (Self-attested copy Id and Address Proof along with the information related to occupation).</t>
  </si>
  <si>
    <t>1.Trademark Name</t>
  </si>
  <si>
    <t>6.Trust Deed on Proper Stamp Value.</t>
  </si>
  <si>
    <t>2. Passport size photo</t>
  </si>
  <si>
    <t>Professional Fees:</t>
  </si>
  <si>
    <t>7.Photographs of Trustee and settlor.</t>
  </si>
  <si>
    <t>(Our Counsultancy Charges)</t>
  </si>
  <si>
    <t>8.PAN Card of Trustee and settlor.</t>
  </si>
  <si>
    <t>4. PAN Card,</t>
  </si>
  <si>
    <t>Rs. 20000/- (Only For Psara License Apply)</t>
  </si>
  <si>
    <t>9.Total number of trustees.</t>
  </si>
  <si>
    <t>5. Address Proof:- Rent Aggrement/electric City bill/GST certificate</t>
  </si>
  <si>
    <t>10.The Registered address of the trust.</t>
  </si>
  <si>
    <t>6. Business Detail</t>
  </si>
  <si>
    <t>Note:- if required any other registration that you don't have, we will provide with charges.</t>
  </si>
  <si>
    <t>11.Proposed name of the trust.</t>
  </si>
  <si>
    <t>7. DSC(Digital Signature)</t>
  </si>
  <si>
    <t>12.Rules and regulations to be strictly followed by the Trust.</t>
  </si>
  <si>
    <t>8. Mobile No. and Mail Id and DSC</t>
  </si>
  <si>
    <t>Note:-(Department Charges as per officer , we will try best in minimum with negotiatoon)</t>
  </si>
  <si>
    <t>13.Name of 2 witnesses and their ID proof also.</t>
  </si>
  <si>
    <t>9. Logo if any available(Optional)</t>
  </si>
  <si>
    <t>14.Mo. No. and Email Id of All Person.</t>
  </si>
  <si>
    <t>Documents For DSC:-</t>
  </si>
  <si>
    <t>Payment terms : - Gov. Fees Full Advance and Counsulatncy 50 % advance</t>
  </si>
  <si>
    <t>and rest 25% after filling and 25% after approval</t>
  </si>
  <si>
    <t>Nidhi Company Reg:-</t>
  </si>
  <si>
    <t>Required Documents:-</t>
  </si>
  <si>
    <t>3. Mo. No. &amp; Email id</t>
  </si>
  <si>
    <t>Working Duration:</t>
  </si>
  <si>
    <t>120 days to 180 Days</t>
  </si>
  <si>
    <t>2.All Nidhi Member Details( Including Aadhar Card)</t>
  </si>
  <si>
    <t>Documents For Gem Portal Reg</t>
  </si>
  <si>
    <t>Note:- All charges are Exclude GST.</t>
  </si>
  <si>
    <t>4.Address Proof</t>
  </si>
  <si>
    <t>18% GST Applicable on Consultancy Charges.</t>
  </si>
  <si>
    <t>5.Type of Company</t>
  </si>
  <si>
    <t>6. Company Deed</t>
  </si>
  <si>
    <t>SHOP ACT REG.</t>
  </si>
  <si>
    <t>7.Bank Account Details</t>
  </si>
  <si>
    <t>Documents Require For Shop Act Reg.</t>
  </si>
  <si>
    <t>1. Passport Size Photograph of Employer</t>
  </si>
  <si>
    <t>9.Mobile No. &amp; Mail Id</t>
  </si>
  <si>
    <t>2. Photo of shop along with owner</t>
  </si>
  <si>
    <t>10. Name of Company</t>
  </si>
  <si>
    <t>8. Bank Passbook/cancel cheque photo</t>
  </si>
  <si>
    <t>3. List of Management Employees (.xls format)</t>
  </si>
  <si>
    <t>11. Initial Capital</t>
  </si>
  <si>
    <t>9. ITR Soft Copy (30-40 Page)</t>
  </si>
  <si>
    <t>4. Rates of Wages (.xls format)</t>
  </si>
  <si>
    <t>Note:-</t>
  </si>
  <si>
    <t>10.GST Certificate</t>
  </si>
  <si>
    <t>5. Details of Employees working in Establishment (.xls format)</t>
  </si>
  <si>
    <t>Minimum Directors- 2</t>
  </si>
  <si>
    <t>11. MSME certificate</t>
  </si>
  <si>
    <t>6. Employee Weekly Holidays(.xls format)</t>
  </si>
  <si>
    <t>Minimum members- 5</t>
  </si>
  <si>
    <t>7. Address proof of Establishment [Copy of shop's rent agreement (if on rent) or Shop's ownership document proof (if owner of shop)]</t>
  </si>
  <si>
    <t>Minimum capital requirement- Rs 5 Lakh (Total Including 3 Directors)</t>
  </si>
  <si>
    <t>8. Affidavit (Declaration Form)</t>
  </si>
  <si>
    <t>Charges Gov Fess 12000/- including 7 DSC</t>
  </si>
  <si>
    <t>Documents For Combo DSC:-</t>
  </si>
  <si>
    <t>9. Photo ID (PAN Card/Driving License/Aadhar Card/Passport)</t>
  </si>
  <si>
    <t>Counsultancy 5000+gst</t>
  </si>
  <si>
    <t>1. Photo</t>
  </si>
  <si>
    <t>10.All ID Proof of Owner</t>
  </si>
  <si>
    <t>11. Mo. No. Email Id</t>
  </si>
  <si>
    <t>Documents For Society Reg.</t>
  </si>
  <si>
    <t>1.Proof of Identity for All Members Aadhaar Card/Voter ID/Passport/Driving License</t>
  </si>
  <si>
    <t xml:space="preserve"> -:MSME Registration:- </t>
  </si>
  <si>
    <t>5. GST Certificate</t>
  </si>
  <si>
    <t>6. Aadhar Number should be Linked with Mo. No.</t>
  </si>
  <si>
    <t>4.Objective of the SocietyDeed.</t>
  </si>
  <si>
    <t>5. Deed on Proper Stamp Value.</t>
  </si>
  <si>
    <t>4. Address Proof (electric City bill)</t>
  </si>
  <si>
    <t>6.Photographs of Members</t>
  </si>
  <si>
    <t>Required Documents For OPC Pvt Ltd Company Reg:-</t>
  </si>
  <si>
    <t>7.PAN Card of Members</t>
  </si>
  <si>
    <t>8.Total number of members.</t>
  </si>
  <si>
    <t>9.The Registered address of the Society.</t>
  </si>
  <si>
    <t>8. Bank Details</t>
  </si>
  <si>
    <t>10.Proposed name of the Society</t>
  </si>
  <si>
    <t>11.Rules and regulations to be strictly followed by the Society</t>
  </si>
  <si>
    <t>Required Documents For Complete Psara License:-</t>
  </si>
  <si>
    <t>12.Name of 2 witnesses and their ID proof also.</t>
  </si>
  <si>
    <t>13.Mo. No. and Email Id of All Person.</t>
  </si>
  <si>
    <t>1.Details of the directors(Photo, Aadhar card, Pan Card self attested, Mobile Number, Email id)</t>
  </si>
  <si>
    <t>2.Logo for the security agency</t>
  </si>
  <si>
    <t>3.The armed used or to be used details and the licenses obtained by them</t>
  </si>
  <si>
    <t>Delhi Shop act Documents:-</t>
  </si>
  <si>
    <t>4. Employees details.</t>
  </si>
  <si>
    <t>1. Business Name</t>
  </si>
  <si>
    <t>10. Company Authorized Capital &amp; Paid Up Capital Amount</t>
  </si>
  <si>
    <t>5.The uniform pattern or dress code of such deputing security agents</t>
  </si>
  <si>
    <t>2. Business Address with Pin code</t>
  </si>
  <si>
    <t>11. If Director have any other Company/NGO Director Previously then send last Complete details</t>
  </si>
  <si>
    <t>6.The character and background verification certificate for the employees.</t>
  </si>
  <si>
    <t>3. Mobile Number &amp; Email ID</t>
  </si>
  <si>
    <t>12.2 Name of Company For Name Approval</t>
  </si>
  <si>
    <t>7.Required affidavits as stated in PSARA act.</t>
  </si>
  <si>
    <t>4. Telephone number if have any</t>
  </si>
  <si>
    <t>13. Nominee Details:-</t>
  </si>
  <si>
    <t>8.4 Angle Side photo with complete dress, logo and white background.</t>
  </si>
  <si>
    <t>5. Name of Owner with Father name</t>
  </si>
  <si>
    <t>a) Photo</t>
  </si>
  <si>
    <t xml:space="preserve">9.Address proof of the place of the business </t>
  </si>
  <si>
    <t>6. Name Of Manager With father name</t>
  </si>
  <si>
    <t>b) Aadhar card</t>
  </si>
  <si>
    <t>10. Nominee Details</t>
  </si>
  <si>
    <t>7. Nature of Business</t>
  </si>
  <si>
    <t>c) Pan Card</t>
  </si>
  <si>
    <t>8. No. Of Employee</t>
  </si>
  <si>
    <t>d) Voter Id card</t>
  </si>
  <si>
    <t>e) latest bank statment</t>
  </si>
  <si>
    <t>d)Mobile no. &amp; Email id(Mo.No. Should Be Linked with Aadhar)</t>
  </si>
  <si>
    <t>ITR Salary Person Docx:-</t>
  </si>
  <si>
    <t>Odisha Shop act Documents:-</t>
  </si>
  <si>
    <t>-:Company GST Reg:-</t>
  </si>
  <si>
    <t>1. Company Incorporation Certificate</t>
  </si>
  <si>
    <t>2. Pan card</t>
  </si>
  <si>
    <t>2. MOA &amp; AOA</t>
  </si>
  <si>
    <t>3. Mobile No. &amp; Email Id</t>
  </si>
  <si>
    <t>3. Authorize Director NOC</t>
  </si>
  <si>
    <t>4. Income Details(bank Statment/Forum16)</t>
  </si>
  <si>
    <t>4. Owner Aadhar card and Pan card</t>
  </si>
  <si>
    <t>4. Company PAN Card</t>
  </si>
  <si>
    <t>5. Nature of Business</t>
  </si>
  <si>
    <t>5. All Director Passport Size Photo, Aadhar Card, PAN Card, DIN Number, Mobile Number and Email ID.</t>
  </si>
  <si>
    <t>6. No. Of Employee</t>
  </si>
  <si>
    <t>6. Company Address Proof Electric City Bill and Rent Agreement.</t>
  </si>
  <si>
    <t>7. GST certificate</t>
  </si>
  <si>
    <t>Shop act Registration Details:-</t>
  </si>
  <si>
    <t>8. Authorize person details</t>
  </si>
  <si>
    <t>Required documents for CLRA.</t>
  </si>
  <si>
    <t>Adhar card and pan card of the owner</t>
  </si>
  <si>
    <t>Details for HUF PAN Card Application</t>
  </si>
  <si>
    <t>MSME certification ( if any)</t>
  </si>
  <si>
    <t xml:space="preserve">1. The name of the HUF </t>
  </si>
  <si>
    <t>Passport Size photograph</t>
  </si>
  <si>
    <t>2. HUF’s address and residence proof</t>
  </si>
  <si>
    <t>Address proof of business premises.</t>
  </si>
  <si>
    <t>A. Copy of Karta’s Aadhaar card;</t>
  </si>
  <si>
    <t>Bank Account details</t>
  </si>
  <si>
    <t>B. Copy of Karta’s Voter ID;</t>
  </si>
  <si>
    <t>Number of workers</t>
  </si>
  <si>
    <t>C. Copy of Karta’s driver’s license or passport;</t>
  </si>
  <si>
    <t>Details of the workers</t>
  </si>
  <si>
    <t>D. Copy of Karta’s Ration card;</t>
  </si>
  <si>
    <t>8. GST registration</t>
  </si>
  <si>
    <t>Form 3</t>
  </si>
  <si>
    <t>3. Source of income to the corpus;</t>
  </si>
  <si>
    <t>9. Shop photograph  with owner</t>
  </si>
  <si>
    <t>Work Order</t>
  </si>
  <si>
    <t>4. Names, father’s name and addresses of all coparceners of the HUF, with affidavit made by the Karta;</t>
  </si>
  <si>
    <t>5. Signature of the Karta on the completed Form 49A.</t>
  </si>
  <si>
    <t>2000+ 18% GST our consultancy fees</t>
  </si>
  <si>
    <t xml:space="preserve">Required documents of CSR </t>
  </si>
  <si>
    <t>Duplicate of PAN Card of the NGO</t>
  </si>
  <si>
    <t>Email ID</t>
  </si>
  <si>
    <t>Mobile Number</t>
  </si>
  <si>
    <t>Address of the Entity</t>
  </si>
  <si>
    <t>Documents For Proffesional Tax Registration:-</t>
  </si>
  <si>
    <t>Subtleties of Governing Body Members (Trustees or Member of Societies)</t>
  </si>
  <si>
    <t>PAN Card</t>
  </si>
  <si>
    <t>Duplicate of Registration Certificate</t>
  </si>
  <si>
    <t>PAN Card of Company must be attested by the Director of the Company.</t>
  </si>
  <si>
    <t>Digital Signature of (Trustee/CEO/Chairperson/Secretary) with his PAN Number</t>
  </si>
  <si>
    <t>Certificate of Incorporation</t>
  </si>
  <si>
    <t>Required Documents For Resturant State FSSAI Registration:-</t>
  </si>
  <si>
    <t xml:space="preserve">Incorporation Certificate of the Company, including MOA and AOA </t>
  </si>
  <si>
    <t>1. Aadhar Card/Passport/Voter ID</t>
  </si>
  <si>
    <t>Bank Account</t>
  </si>
  <si>
    <t>-:Producer Company Reg (FPC):-</t>
  </si>
  <si>
    <t>Proof of Bank Account of Company, Cancelled Cheque and Bank Statement</t>
  </si>
  <si>
    <t>Lists</t>
  </si>
  <si>
    <t>4. Business Name</t>
  </si>
  <si>
    <t>1. Required Minimum 10 Producer/Members(Including Director)</t>
  </si>
  <si>
    <t>List of all Directors</t>
  </si>
  <si>
    <t>5. Nature of business</t>
  </si>
  <si>
    <t>2. Required Minimum 5 Director &amp; Maximum 15 Director</t>
  </si>
  <si>
    <t>Address Proof</t>
  </si>
  <si>
    <t>6. Restuarent Photos(Kitchen area, Sitting area and Front main photo with resturant name and stand with you)</t>
  </si>
  <si>
    <t>3. All Member &amp; Director Passport Size Photo</t>
  </si>
  <si>
    <r>
      <rPr>
        <rFont val="Arial"/>
        <color rgb="FF212529"/>
        <sz val="12.0"/>
      </rPr>
      <t xml:space="preserve">Address Proof of office location of the company with ownership papers in case the premise is owned by an applicant, in other cases </t>
    </r>
    <r>
      <rPr>
        <rFont val="Arial"/>
        <color rgb="FF212529"/>
        <sz val="12.0"/>
        <u/>
      </rPr>
      <t xml:space="preserve">rent agreement </t>
    </r>
    <r>
      <rPr>
        <rFont val="Arial"/>
        <color rgb="FF212529"/>
        <sz val="12.0"/>
      </rPr>
      <t>and (NOC) no objection certificate from the owner of the premises.</t>
    </r>
  </si>
  <si>
    <t>7. Mo. No. Email Id</t>
  </si>
  <si>
    <t>4. All Member &amp; Director Aadhar Card</t>
  </si>
  <si>
    <t>Identity Proof</t>
  </si>
  <si>
    <t>8. Address Proof(Electric city bill and Rent aggriment)</t>
  </si>
  <si>
    <t>5. All Member &amp; Director PAN Card</t>
  </si>
  <si>
    <t>Passport Size Photographs of all Directors. Identity proof from all the directors such as Aadhaar Card etc</t>
  </si>
  <si>
    <t>9. Water Testing Report</t>
  </si>
  <si>
    <t>6. All Member &amp; Director Voter ID Card/DL/Passport(Any one in these)</t>
  </si>
  <si>
    <t>Other Personal Documents</t>
  </si>
  <si>
    <t>7.Address Proof(Electric City Bill or Rent Agreement if business Place</t>
  </si>
  <si>
    <t>Documents of the Directors like I.D. proof such as PAN card, Passport, Driving License, Voter Card, Aadhaar Card is acceptable and for Address proof as Electricity Bill, Telephone Bills and other utility bills.</t>
  </si>
  <si>
    <t>Consent</t>
  </si>
  <si>
    <t>8.Type of Company(Nature of Business)</t>
  </si>
  <si>
    <t>Board Resolution passed by a Director of the Company authorizing Professional Tax Registration. Consent by partners for the application to register under Professional Tax.</t>
  </si>
  <si>
    <t>9. All Member &amp; Director Bank Account Details(Latest Bank Statment)</t>
  </si>
  <si>
    <t>Register</t>
  </si>
  <si>
    <t>10.NOC from Landlord(for rented property)</t>
  </si>
  <si>
    <t>The employees Attendance Register and Salary Register are also required.</t>
  </si>
  <si>
    <t>11.All Member &amp; Director Mobile No. &amp; Mail Id</t>
  </si>
  <si>
    <t>Authorization Letter</t>
  </si>
  <si>
    <t>12. Company Capital Share Amount &amp; Director Share % Details</t>
  </si>
  <si>
    <t>Authorization Letter with the signature by Director  for obtaining a user I.D. and Password of Professional Tax Department.</t>
  </si>
  <si>
    <t>13.2 Name of Company For Name Approval</t>
  </si>
  <si>
    <t>14. If Director have any other Company/NGO Director Previously then send last Complete details</t>
  </si>
  <si>
    <t>PF/ESIC Registration Docx:-</t>
  </si>
  <si>
    <t>Documents Required for80G And 12A  Certification</t>
  </si>
  <si>
    <t>15. Minimum 5 Lakh Capital</t>
  </si>
  <si>
    <t>1. Company Certificate/Partnership Deed/Any Propritor Certificate</t>
  </si>
  <si>
    <t>1) copy of PAN of Trust</t>
  </si>
  <si>
    <t>16. Sarpanch letter/ /Khasra - Khatuni/ Income Tax Return (ITR)with Agriculture Income/ Any other proof a person as a serving member</t>
  </si>
  <si>
    <t>2. Company MOA/AOA</t>
  </si>
  <si>
    <t>2) Income tax login credentials, if registered on portal</t>
  </si>
  <si>
    <t>17. Producer Card of Members</t>
  </si>
  <si>
    <t>3. Company/Firm PAN Card</t>
  </si>
  <si>
    <t>3) self certified copies of Trust deed, incorporation certificate and other related documents (Seal and sign)</t>
  </si>
  <si>
    <t>18. Farmer Certificate</t>
  </si>
  <si>
    <t>4. Director/Onwer KYC(Aadhar Car, Pan Card)</t>
  </si>
  <si>
    <t>4) Note on activities of trust.</t>
  </si>
  <si>
    <t>Charges: 20000+18%GST=23600/-(Including 10 DSC,Name Approval,Incorporation Certificate, PAN, TAN, ESIC, EPFO, DIN)This Quote for 10 Members Only</t>
  </si>
  <si>
    <t>5. GST Certificate If have</t>
  </si>
  <si>
    <t>5) Details of the DARPAN registration, if the organisation is registered on the DARPAN portal. If not then provide PAN adhar, mobile and email of Author/settlor and all the trustees.</t>
  </si>
  <si>
    <t>6. Bank Cancel Cheque Copy</t>
  </si>
  <si>
    <t>6) Documents related to modification or change in trust deed, if any</t>
  </si>
  <si>
    <t>7. Address Proof (Electric City Bill/Rent Aggriment)</t>
  </si>
  <si>
    <t>7) Digital Signature DSC</t>
  </si>
  <si>
    <t>8. Mo. No. &amp; Email Id</t>
  </si>
  <si>
    <t>8) 4 Photos of Activities</t>
  </si>
  <si>
    <t>Documents Required for Startup India Certification</t>
  </si>
  <si>
    <t>9. Employee Details</t>
  </si>
  <si>
    <t>2 - Company PAN</t>
  </si>
  <si>
    <t>Following APEDA documents are required with application form:</t>
  </si>
  <si>
    <t>3 - All Director's Pan Card and Aadhaar Card</t>
  </si>
  <si>
    <t>4 - All Director's Email id and Mobile number</t>
  </si>
  <si>
    <t>I. For Merchant exporter :-</t>
  </si>
  <si>
    <t>5 - Website URL (Optional)</t>
  </si>
  <si>
    <t>1. Self-certified copy of Import-Export code issued by D.G.F.T.</t>
  </si>
  <si>
    <t>6 - MSME Certificate (Optional)</t>
  </si>
  <si>
    <t>7 - Company MOA</t>
  </si>
  <si>
    <t>II. For Manufacturer exporter:-</t>
  </si>
  <si>
    <t>8 - Company Logo  (Optional)</t>
  </si>
  <si>
    <t>9 - About your business</t>
  </si>
  <si>
    <t>2. Exporter should furnish a self- attested copy of the registration of the company with the relevant certification agencies for the products given below :-</t>
  </si>
  <si>
    <t>10 - Number of employees in the company</t>
  </si>
  <si>
    <t>FSSAI/MSME (Udyam Registration certificate) / NOC issued by Pollution Control Board.</t>
  </si>
  <si>
    <t xml:space="preserve">Timing - 7-8 working days </t>
  </si>
  <si>
    <t>Charges - 3000+18% gst</t>
  </si>
  <si>
    <t>-: Public Limited Company Reg:-</t>
  </si>
  <si>
    <t>Dear Sir/Ma'am, Your Company/NGO Name Applied Today, Kindly Send Documents As per List with in 10 days because name approval will be valid for 15 days only  after name approval.</t>
  </si>
  <si>
    <t>Required Documents Company Reg:-</t>
  </si>
  <si>
    <t>1. Required Minimum 7 Members(Including Director)</t>
  </si>
  <si>
    <t>Documents required for Trade License For Delhi: 📝</t>
  </si>
  <si>
    <t>2. Required Minimum 3 Director &amp; Maximum 15 Director</t>
  </si>
  <si>
    <t>▪️Aadhar Card &amp; Photograph of Proprietor</t>
  </si>
  <si>
    <t>ICEGATE AD Code Registration Documents</t>
  </si>
  <si>
    <t>▪️Electricity Bill &amp; Rent Agreement</t>
  </si>
  <si>
    <t>1. Bank account Details</t>
  </si>
  <si>
    <t>▪️Site Plan/key Plan of the site</t>
  </si>
  <si>
    <t>2. Authorized Dealer Code</t>
  </si>
  <si>
    <t>▪️GST Registration Certificate</t>
  </si>
  <si>
    <t>3. e-SANCHIT IRN Number</t>
  </si>
  <si>
    <t>▪️Photograph of the establishment with the display of goods traded from the premises</t>
  </si>
  <si>
    <t>4.DSC</t>
  </si>
  <si>
    <t>Note: All documents must be self-attested. 🖋️</t>
  </si>
  <si>
    <t>6. IEC COde</t>
  </si>
  <si>
    <t>7. Email and Number</t>
  </si>
  <si>
    <t>Pricing: 💰</t>
  </si>
  <si>
    <t>8. Aadhar Card and pan card</t>
  </si>
  <si>
    <t>Govt. Fee (As per actual)100 sq feet aproxx 6k govt fee</t>
  </si>
  <si>
    <t>Consultancy Fee – 10000/-+18%GST</t>
  </si>
  <si>
    <t>Dear Sir/Mam, </t>
  </si>
  <si>
    <t>1. SUB- NSIC REGISTRATION. </t>
  </si>
  <si>
    <t>As per the telephonic discussed with you, I am sending the details &amp; other attachment of some important document for NSIC Registration ( Government Purchase Registration).</t>
  </si>
  <si>
    <t>Charges: 20000+18%GST=23600/-(Including 7 DSC,Name Approval,Incorporation Certificate, PAN, TAN, ESIC, EPFO, DIN)This Quote for 7 Members Only</t>
  </si>
  <si>
    <t>Tender License Registration ( G.P or Single Point Registration)</t>
  </si>
  <si>
    <t>The Government is the single largest buyer of a variety of goods. With a view to increase the share of purchases from the small-scale sector, the Government Stores Purchase Programme was launched in 1955-56. NSIC registers Micro &amp; small Enterprises (MSEs) under Single Point Registration scheme (SPRS) for participation in Government Purchases.</t>
  </si>
  <si>
    <t>Benefits of Registration</t>
  </si>
  <si>
    <t>The units registered under Single Point Registration Scheme of NSIC are eligible to get the benefits under “Public Procurement Policy for Micro &amp; Small Enterprises (MSEs) Order 2012” as notified by the Government of India, Ministry of Micro Small &amp; Medium Enterprises, New Delhi vide Gazette Notification dated 26.03.2012.</t>
  </si>
  <si>
    <t>·         Issue of the Tender Sets free of cost;</t>
  </si>
  <si>
    <t>·         Exemption from payment of Earnest Money Deposit (EMD),</t>
  </si>
  <si>
    <t>·         In tender participating MSEs quoting price within price band of L1+15 per cent shall also be allowed to supply a portion upto 20% of requirement by bringing down their price to L1 Price where L1 is non MSEs.</t>
  </si>
  <si>
    <t>Eligibility</t>
  </si>
  <si>
    <t>All Micro &amp; Small Enterprises which are registered with the Director of Industries (DI)/District Industries Centre (DIC) as manufacturing/service enterprises or having Acknowledgement of Entrepreneurs Memorandum (EM Part-II) &amp; Udyog Aadhar  are eligible for registration with NSIC under its Single Point Registration Scheme (SPRS).</t>
  </si>
  <si>
    <t>Micro &amp; Small Enterprises who have already commenced their commercial production but not completed one year of existence. The Provisional   Registration Certificate can be issued to such Micro &amp; Small Enterprises under Single Point Registration scheme with monitory limit of Rs. 5.00 Lacs which shall be valid for the period of one year only from the date of issue after levying the registration fee and obtaining the requisite documents.</t>
  </si>
  <si>
    <t>REGISTRATION PROCESS</t>
  </si>
  <si>
    <t>The Micro &amp; Small Enterprise has to submit the application form (in duplicate) along-with requisite fee and documents to the Zonal/Branch and Sub Office/Extension office of NSIC situated nearest to their location.</t>
  </si>
  <si>
    <t>Duplicate copy of the G.P. Registration Application Form submitted by the Micro &amp; Small Enterprise will be forwarded to the concerned SGC/ RITES along with copies of required documents and requisite Draft/Pay Order of inspection charges in favor of concerned Inspection Agency requesting for carrying out the Technical Inspection of Micro &amp; Small Enterprise and forward their recommendations in this regard.</t>
  </si>
  <si>
    <t>After receiving Inspection Report, NSIC will issue the GP Registration Certificate to Micro &amp; Small Enterprise for items/stores as recommended.</t>
  </si>
  <si>
    <t>Validity Period of G. P. Registration (Tender License or Single Point Registration)</t>
  </si>
  <si>
    <t>The G. P. Registration Certificate granted to the Micro &amp; Small Enterprise under Single Point Registration Scheme (Revised), 2003 is valid for Two Years and will be reviewed and renewed after every two years by verifying continuous Commercial and Technical Competence of the registered Micro &amp; Small Enterprise in manufacturing / producing the stores for which it has been registered by NSIC.</t>
  </si>
  <si>
    <t> 2-Raw Material Assistance (a Credit Facility by NSIC)</t>
  </si>
  <si>
    <t>We are dealing in providing the raw material assistance to the MSME’s of Delhi, Uttar Pradesh and Haryana through NSIC schemes. NSIC aims at helping MSEs by way of financing the purchase of Raw Material (both indigenous &amp; imported). This gives an opportunity to MSEs to focus better on manufacturing quality products.</t>
  </si>
  <si>
    <t>Benefits of the Scheme</t>
  </si>
  <si>
    <t>-          Financial Assistance for procurement of Raw Material upto 90 days</t>
  </si>
  <si>
    <t>-          MSEs helped to avail Economics of Purchases like bulk purchase; cash discount etc</t>
  </si>
  <si>
    <t>-          NSIC takes care of all the procedures, documentation &amp; issue of Letter of credit in case of imports.</t>
  </si>
  <si>
    <t> </t>
  </si>
  <si>
    <t>REGISTRATION FEE  : </t>
  </si>
  <si>
    <t>The registration Fee is based on the Net Sales Turnover as per latest audited Balance Sheet of the Micro &amp; Small Enterprise for the Registration, Renewal and any other amendment etc. The Fee structure is indicated in the table as below:   </t>
  </si>
  <si>
    <t>Required Document For State Society Registration:- fees 15000+18%GST=17700/-</t>
  </si>
  <si>
    <t>1. Name 4-5 of the proposed society</t>
  </si>
  <si>
    <t>Category (Net Sales Turnover Based)</t>
  </si>
  <si>
    <t>2. Minimum 7 Persons- From DELHI</t>
  </si>
  <si>
    <t>* President</t>
  </si>
  <si>
    <t>Vice President</t>
  </si>
  <si>
    <t> Fee</t>
  </si>
  <si>
    <t>* Secretary</t>
  </si>
  <si>
    <t>Joint Secretary</t>
  </si>
  <si>
    <t>*Treasurer</t>
  </si>
  <si>
    <t>I</t>
  </si>
  <si>
    <t>Executive Member</t>
  </si>
  <si>
    <t>Name, Address, Age, Occupation, Father’s Name</t>
  </si>
  <si>
    <t>Fee for Fresh Registration of Micro &amp; Small Enterprises:  </t>
  </si>
  <si>
    <t>3. Address Proof- Aadhar Card / Voter I.D / Driving license/ Passport</t>
  </si>
  <si>
    <t>4. Power of Attorney of the premises where society is to be registered</t>
  </si>
  <si>
    <t> a) Turnover up-to Rs. 100 lakh  </t>
  </si>
  <si>
    <t>5. Electricity Bill, House tax Receipt, Property Papers*</t>
  </si>
  <si>
    <t>6. Rent Deed &amp;amp; NOC from Landlord on Rs.10/- stamp paper</t>
  </si>
  <si>
    <t>a)    Turnover up-to Rs. 100 lakh </t>
  </si>
  <si>
    <t>Required Document For State National Registration:- 20000+18%GST=23600/-</t>
  </si>
  <si>
    <t>1.  Name 4-5 of the proposed society</t>
  </si>
  <si>
    <t>1)    For Micro Enterprises : Rs.3000-</t>
  </si>
  <si>
    <t>2.  Minimum 8 Persons ………. Different states</t>
  </si>
  <si>
    <t>2)    For Small Enterprises : Rs. 5000 </t>
  </si>
  <si>
    <t>* President…………………1…Delhi...</t>
  </si>
  <si>
    <t>Vice President ……………2…….……………….</t>
  </si>
  <si>
    <t>b) Turnover exceeding Rs. 100 lakh  </t>
  </si>
  <si>
    <t>* Secretary…………………3…Delhi....</t>
  </si>
  <si>
    <t>b)    Turnover exceeding Rs. 100 lakh</t>
  </si>
  <si>
    <t>Joint Secretary……………4……………….….….</t>
  </si>
  <si>
    <t>1)    For Micro Enterprises:</t>
  </si>
  <si>
    <t>*Treasurer………………….5…Delhi....</t>
  </si>
  <si>
    <t>Executive Member………..6……………………..</t>
  </si>
  <si>
    <t>Rs. 3000/- plus Rs. 1500/- for every additional turnover of  Rs. 100 Lakh</t>
  </si>
  <si>
    <t>Executive Member………..7……………………..</t>
  </si>
  <si>
    <t>2)    For Small Enterprises :</t>
  </si>
  <si>
    <t>Executive Member…………8……………………..</t>
  </si>
  <si>
    <t>Executive Member…………9……………………..</t>
  </si>
  <si>
    <t>Rs. 5000/- plus Rs. 2000/- for every additional turnover of  Rs. 100 Lakhs </t>
  </si>
  <si>
    <t>Executive Member………..10……………………..</t>
  </si>
  <si>
    <t>I'm</t>
  </si>
  <si>
    <t>3.  Name, Address, Age, Occupation, Father’s Name</t>
  </si>
  <si>
    <t>With cap of Rs. 1 lac for all categories.  </t>
  </si>
  <si>
    <t>4.  Address Proof- Aadhar Card / Voter I.D / Driving license/ Passport.</t>
  </si>
  <si>
    <t>1.NSIC Limited fee.....</t>
  </si>
  <si>
    <t>5.  Property Papers of the premises where society is to be registered.</t>
  </si>
  <si>
    <t>6.  Electricity Bill / House tax Receipt / Water Bill photocopy</t>
  </si>
  <si>
    <t>2 .inspection (govt.fee)</t>
  </si>
  <si>
    <t>7.  NOC from Landlord on Rs.10/- stamp paper</t>
  </si>
  <si>
    <t>Inspection Official Fee</t>
  </si>
  <si>
    <t>8.  For All India Level-3 members from Delhi &amp; 7 from different states</t>
  </si>
  <si>
    <t>8000  For small units</t>
  </si>
  <si>
    <t>7000 for Micro Units</t>
  </si>
  <si>
    <t>3.our Consultancy </t>
  </si>
  <si>
    <t>15000+govt  fee.as per actual.</t>
  </si>
  <si>
    <t>PAYMENT TERMS. </t>
  </si>
  <si>
    <t>HALF PAYMENT ON START WORK</t>
  </si>
  <si>
    <t>&amp; </t>
  </si>
  <si>
    <t>HALF PAYMENT ON DELIVERED CERTIFICATE .</t>
  </si>
  <si>
    <t>We are providing services on various matters like Company Formation/ Registration,NSIC Registration,MSME,ISO,BIS, ISI,CPWD Certification, Trade Mark (TM), Consultancy upon Trademarks, FSSAI,Copy Rights, Legal Matters Consultancy.</t>
  </si>
  <si>
    <t>Website (Inc Domain &amp; Hosting)</t>
  </si>
  <si>
    <t xml:space="preserve">Basic SEO, </t>
  </si>
  <si>
    <t>5 Pages</t>
  </si>
  <si>
    <t>Social Media Pages(Insta + Fb + Linkedin)</t>
  </si>
  <si>
    <t>Cover Photo &amp; 10 Posts</t>
  </si>
  <si>
    <t>Google Business + Just Dial</t>
  </si>
  <si>
    <t>Graphic Package(Soft Copy Editable)</t>
  </si>
  <si>
    <t>Letterhead</t>
  </si>
  <si>
    <t>Banner</t>
  </si>
  <si>
    <t>Visiting Card</t>
  </si>
  <si>
    <t>Social Media Post Template(10)</t>
  </si>
  <si>
    <t>Combo Package(All Above)</t>
  </si>
</sst>
</file>

<file path=xl/styles.xml><?xml version="1.0" encoding="utf-8"?>
<styleSheet xmlns="http://schemas.openxmlformats.org/spreadsheetml/2006/main" xmlns:x14ac="http://schemas.microsoft.com/office/spreadsheetml/2009/9/ac" xmlns:mc="http://schemas.openxmlformats.org/markup-compatibility/2006">
  <fonts count="52">
    <font>
      <sz val="11.0"/>
      <color theme="1"/>
      <name val="Calibri"/>
      <scheme val="minor"/>
    </font>
    <font>
      <b/>
      <sz val="14.0"/>
      <color rgb="FF000000"/>
      <name val="Calibri"/>
    </font>
    <font>
      <b/>
      <sz val="14.0"/>
      <color theme="1"/>
      <name val="Calibri"/>
    </font>
    <font>
      <sz val="14.0"/>
      <color theme="1"/>
      <name val="Calibri"/>
    </font>
    <font>
      <color theme="1"/>
      <name val="Calibri"/>
    </font>
    <font>
      <sz val="11.0"/>
      <color theme="1"/>
      <name val="Calibri"/>
    </font>
    <font>
      <color theme="1"/>
      <name val="Calibri"/>
      <scheme val="minor"/>
    </font>
    <font>
      <sz val="14.0"/>
      <color rgb="FF000000"/>
      <name val="Calibri"/>
    </font>
    <font>
      <sz val="16.0"/>
      <color theme="1"/>
      <name val="Calibri"/>
    </font>
    <font>
      <b/>
      <sz val="11.0"/>
      <color theme="1"/>
      <name val="Arial"/>
    </font>
    <font>
      <sz val="11.0"/>
      <color rgb="FF212529"/>
      <name val="Lato"/>
    </font>
    <font>
      <sz val="11.0"/>
      <color theme="1"/>
      <name val="Arial"/>
    </font>
    <font>
      <sz val="11.0"/>
      <color rgb="FF000000"/>
      <name val="Lato"/>
    </font>
    <font>
      <b/>
      <sz val="11.0"/>
      <color theme="1"/>
      <name val="Calibri"/>
    </font>
    <font>
      <b/>
      <sz val="12.0"/>
      <color rgb="FF202124"/>
      <name val="Arial"/>
    </font>
    <font>
      <b/>
      <sz val="14.0"/>
      <color theme="1"/>
      <name val="Arial"/>
    </font>
    <font>
      <sz val="14.0"/>
      <color theme="1"/>
      <name val="Arial"/>
    </font>
    <font>
      <sz val="17.0"/>
      <color theme="1"/>
      <name val="Calibri"/>
    </font>
    <font>
      <sz val="11.0"/>
      <color rgb="FF064ED7"/>
      <name val="Arial"/>
    </font>
    <font>
      <b/>
      <sz val="14.0"/>
      <color rgb="FF000000"/>
      <name val="Serifabt-light"/>
    </font>
    <font>
      <b/>
      <sz val="14.0"/>
      <color rgb="FF000000"/>
      <name val="Arial"/>
    </font>
    <font>
      <sz val="14.0"/>
      <color rgb="FF000000"/>
      <name val="Serifabt-light"/>
    </font>
    <font/>
    <font>
      <b/>
      <color theme="1"/>
      <name val="Calibri"/>
    </font>
    <font>
      <sz val="12.0"/>
      <color theme="1"/>
      <name val="Arial"/>
    </font>
    <font>
      <b/>
      <sz val="12.0"/>
      <color theme="1"/>
      <name val="Arial"/>
    </font>
    <font>
      <sz val="12.0"/>
      <color theme="1"/>
      <name val="Calibri"/>
    </font>
    <font>
      <sz val="12.0"/>
      <color rgb="FF000000"/>
      <name val="Calibri"/>
    </font>
    <font>
      <u/>
      <sz val="12.0"/>
      <color rgb="FF0000FF"/>
      <name val="Arial"/>
    </font>
    <font>
      <u/>
      <sz val="12.0"/>
      <color rgb="FF0000FF"/>
      <name val="Calibri"/>
    </font>
    <font>
      <sz val="12.0"/>
      <color rgb="FF000000"/>
      <name val="Arial"/>
    </font>
    <font>
      <u/>
      <sz val="12.0"/>
      <color rgb="FF0000FF"/>
      <name val="Arial"/>
    </font>
    <font>
      <u/>
      <sz val="12.0"/>
      <color rgb="FF0000FF"/>
      <name val="Calibri"/>
    </font>
    <font>
      <b/>
      <i/>
      <sz val="14.0"/>
      <color theme="1"/>
      <name val="Arial"/>
    </font>
    <font>
      <i/>
      <sz val="14.0"/>
      <color theme="1"/>
      <name val="Arial"/>
    </font>
    <font>
      <sz val="14.0"/>
      <color rgb="FF000000"/>
      <name val="Arial"/>
    </font>
    <font>
      <b/>
      <sz val="11.0"/>
      <color rgb="FF000000"/>
      <name val="Verdana"/>
    </font>
    <font>
      <sz val="11.0"/>
      <color rgb="FF000000"/>
      <name val="Verdana"/>
    </font>
    <font>
      <b/>
      <sz val="14.0"/>
      <color rgb="FF222222"/>
      <name val="Arial"/>
    </font>
    <font>
      <b/>
      <sz val="12.0"/>
      <color rgb="FF222222"/>
      <name val="Open Sans"/>
    </font>
    <font>
      <sz val="12.0"/>
      <color rgb="FF222222"/>
      <name val="Open Sans"/>
    </font>
    <font>
      <sz val="13.0"/>
      <color rgb="FF191919"/>
      <name val="Roboto"/>
    </font>
    <font>
      <b/>
      <sz val="11.0"/>
      <color rgb="FF212529"/>
      <name val="Roboto"/>
    </font>
    <font>
      <sz val="12.0"/>
      <color rgb="FF212529"/>
      <name val="Arial"/>
    </font>
    <font>
      <u/>
      <sz val="12.0"/>
      <color rgb="FF212529"/>
      <name val="Roboto"/>
    </font>
    <font>
      <sz val="12.0"/>
      <color rgb="FF212529"/>
      <name val="Roboto"/>
    </font>
    <font>
      <sz val="11.0"/>
      <color rgb="FF212529"/>
      <name val="Arial"/>
    </font>
    <font>
      <sz val="23.0"/>
      <color rgb="FF3D4459"/>
      <name val="Roboto"/>
    </font>
    <font>
      <sz val="15.0"/>
      <color rgb="FF333333"/>
      <name val="Inherit"/>
    </font>
    <font>
      <b/>
      <u/>
      <sz val="11.0"/>
      <color rgb="FF134F5C"/>
      <name val="Verdana"/>
    </font>
    <font>
      <b/>
      <u/>
      <sz val="11.0"/>
      <color rgb="FF134F5C"/>
      <name val="Verdana"/>
    </font>
    <font>
      <u/>
      <sz val="11.0"/>
      <color rgb="FF134F5C"/>
      <name val="Verdana"/>
    </font>
  </fonts>
  <fills count="19">
    <fill>
      <patternFill patternType="none"/>
    </fill>
    <fill>
      <patternFill patternType="lightGray"/>
    </fill>
    <fill>
      <patternFill patternType="solid">
        <fgColor rgb="FF9CC2E5"/>
        <bgColor rgb="FF9CC2E5"/>
      </patternFill>
    </fill>
    <fill>
      <patternFill patternType="solid">
        <fgColor rgb="FF1155CC"/>
        <bgColor rgb="FF1155CC"/>
      </patternFill>
    </fill>
    <fill>
      <patternFill patternType="solid">
        <fgColor theme="0"/>
        <bgColor theme="0"/>
      </patternFill>
    </fill>
    <fill>
      <patternFill patternType="solid">
        <fgColor rgb="FFFF9900"/>
        <bgColor rgb="FFFF9900"/>
      </patternFill>
    </fill>
    <fill>
      <patternFill patternType="solid">
        <fgColor rgb="FF9900FF"/>
        <bgColor rgb="FF9900FF"/>
      </patternFill>
    </fill>
    <fill>
      <patternFill patternType="solid">
        <fgColor rgb="FFBFBFBF"/>
        <bgColor rgb="FFBFBFBF"/>
      </patternFill>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
      <patternFill patternType="solid">
        <fgColor rgb="FFC00000"/>
        <bgColor rgb="FFC00000"/>
      </patternFill>
    </fill>
    <fill>
      <patternFill patternType="solid">
        <fgColor rgb="FF980000"/>
        <bgColor rgb="FF980000"/>
      </patternFill>
    </fill>
    <fill>
      <patternFill patternType="solid">
        <fgColor rgb="FFE7F9EF"/>
        <bgColor rgb="FFE7F9EF"/>
      </patternFill>
    </fill>
    <fill>
      <patternFill patternType="solid">
        <fgColor theme="9"/>
        <bgColor theme="9"/>
      </patternFill>
    </fill>
    <fill>
      <patternFill patternType="solid">
        <fgColor rgb="FFE0EBFB"/>
        <bgColor rgb="FFE0EBFB"/>
      </patternFill>
    </fill>
    <fill>
      <patternFill patternType="solid">
        <fgColor rgb="FFF5F9F8"/>
        <bgColor rgb="FFF5F9F8"/>
      </patternFill>
    </fill>
    <fill>
      <patternFill patternType="solid">
        <fgColor rgb="FF92D050"/>
        <bgColor rgb="FF92D050"/>
      </patternFill>
    </fill>
    <fill>
      <patternFill patternType="solid">
        <fgColor rgb="FF00FF00"/>
        <bgColor rgb="FF00FF00"/>
      </patternFill>
    </fill>
  </fills>
  <borders count="11">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top/>
      <bottom/>
    </border>
    <border>
      <left style="thin">
        <color rgb="FF000000"/>
      </lef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medium">
        <color rgb="FFDDDDDD"/>
      </top>
      <bottom style="thin">
        <color rgb="FF000000"/>
      </bottom>
    </border>
    <border>
      <left style="thin">
        <color rgb="FF000000"/>
      </left>
      <right style="thin">
        <color rgb="FF000000"/>
      </right>
      <top style="medium">
        <color rgb="FFDDDDDD"/>
      </top>
    </border>
    <border>
      <left style="thin">
        <color rgb="FF000000"/>
      </left>
      <right style="thin">
        <color rgb="FF000000"/>
      </right>
      <top style="medium">
        <color rgb="FFDDDDDD"/>
      </top>
      <bottom/>
    </border>
    <border>
      <left style="thin">
        <color rgb="FF000000"/>
      </left>
      <right style="thin">
        <color rgb="FF000000"/>
      </right>
      <bottom style="medium">
        <color rgb="FFDDDDDD"/>
      </bottom>
    </border>
    <border>
      <left style="thin">
        <color rgb="FF000000"/>
      </left>
      <right style="thin">
        <color rgb="FF000000"/>
      </right>
      <top/>
      <bottom style="thin">
        <color rgb="FF000000"/>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2" numFmtId="0" xfId="0" applyBorder="1" applyFont="1"/>
    <xf borderId="1" fillId="2" fontId="2" numFmtId="0" xfId="0" applyAlignment="1" applyBorder="1" applyFont="1">
      <alignment horizontal="center"/>
    </xf>
    <xf borderId="2" fillId="2" fontId="2" numFmtId="0" xfId="0" applyBorder="1" applyFont="1"/>
    <xf borderId="3" fillId="2" fontId="2" numFmtId="0" xfId="0" applyBorder="1" applyFont="1"/>
    <xf borderId="1" fillId="3" fontId="3" numFmtId="0" xfId="0" applyAlignment="1" applyBorder="1" applyFill="1" applyFont="1">
      <alignment horizontal="center"/>
    </xf>
    <xf borderId="1" fillId="3" fontId="2" numFmtId="0" xfId="0" applyBorder="1" applyFont="1"/>
    <xf borderId="1" fillId="3" fontId="3" numFmtId="0" xfId="0" applyBorder="1" applyFont="1"/>
    <xf borderId="2" fillId="3" fontId="3" numFmtId="0" xfId="0" applyBorder="1" applyFont="1"/>
    <xf borderId="3" fillId="3" fontId="3" numFmtId="0" xfId="0" applyBorder="1" applyFont="1"/>
    <xf borderId="0" fillId="3" fontId="4" numFmtId="0" xfId="0" applyFont="1"/>
    <xf borderId="1" fillId="0" fontId="3" numFmtId="0" xfId="0" applyAlignment="1" applyBorder="1" applyFont="1">
      <alignment horizontal="center"/>
    </xf>
    <xf borderId="1" fillId="0" fontId="3" numFmtId="0" xfId="0" applyBorder="1" applyFont="1"/>
    <xf borderId="4" fillId="0" fontId="3" numFmtId="0" xfId="0" applyBorder="1" applyFont="1"/>
    <xf borderId="0" fillId="0" fontId="3" numFmtId="0" xfId="0" applyFont="1"/>
    <xf borderId="0" fillId="0" fontId="5" numFmtId="0" xfId="0" applyFont="1"/>
    <xf borderId="0" fillId="0" fontId="4" numFmtId="0" xfId="0" applyFont="1"/>
    <xf borderId="0" fillId="0" fontId="6" numFmtId="0" xfId="0" applyFont="1"/>
    <xf borderId="1" fillId="4" fontId="3" numFmtId="0" xfId="0" applyAlignment="1" applyBorder="1" applyFill="1" applyFont="1">
      <alignment horizontal="center"/>
    </xf>
    <xf borderId="1" fillId="4" fontId="3" numFmtId="0" xfId="0" applyBorder="1" applyFont="1"/>
    <xf borderId="2" fillId="4" fontId="3" numFmtId="0" xfId="0" applyBorder="1" applyFont="1"/>
    <xf borderId="3" fillId="4" fontId="3" numFmtId="0" xfId="0" applyBorder="1" applyFont="1"/>
    <xf borderId="3" fillId="2" fontId="7" numFmtId="0" xfId="0" applyAlignment="1" applyBorder="1" applyFont="1">
      <alignment horizontal="center"/>
    </xf>
    <xf borderId="1" fillId="0" fontId="5" numFmtId="0" xfId="0" applyBorder="1" applyFont="1"/>
    <xf borderId="0" fillId="0" fontId="5" numFmtId="0" xfId="0" applyFont="1"/>
    <xf borderId="1" fillId="5" fontId="3" numFmtId="0" xfId="0" applyBorder="1" applyFill="1" applyFont="1"/>
    <xf borderId="0" fillId="5" fontId="3" numFmtId="0" xfId="0" applyFont="1"/>
    <xf borderId="3" fillId="3" fontId="5" numFmtId="0" xfId="0" applyBorder="1" applyFont="1"/>
    <xf borderId="1" fillId="6" fontId="3" numFmtId="0" xfId="0" applyBorder="1" applyFill="1" applyFont="1"/>
    <xf borderId="1" fillId="7" fontId="3" numFmtId="0" xfId="0" applyAlignment="1" applyBorder="1" applyFill="1" applyFont="1">
      <alignment horizontal="center"/>
    </xf>
    <xf borderId="1" fillId="8" fontId="2" numFmtId="0" xfId="0" applyBorder="1" applyFill="1" applyFont="1"/>
    <xf borderId="1" fillId="7" fontId="3" numFmtId="0" xfId="0" applyBorder="1" applyFont="1"/>
    <xf borderId="2" fillId="7" fontId="3" numFmtId="0" xfId="0" applyBorder="1" applyFont="1"/>
    <xf borderId="3" fillId="7" fontId="3" numFmtId="0" xfId="0" applyBorder="1" applyFont="1"/>
    <xf borderId="1" fillId="0" fontId="7" numFmtId="0" xfId="0" applyAlignment="1" applyBorder="1" applyFont="1">
      <alignment horizontal="center"/>
    </xf>
    <xf borderId="1" fillId="8" fontId="3" numFmtId="0" xfId="0" applyAlignment="1" applyBorder="1" applyFont="1">
      <alignment horizontal="center"/>
    </xf>
    <xf borderId="1" fillId="8" fontId="3" numFmtId="0" xfId="0" applyBorder="1" applyFont="1"/>
    <xf borderId="1" fillId="8" fontId="7" numFmtId="0" xfId="0" applyAlignment="1" applyBorder="1" applyFont="1">
      <alignment horizontal="center"/>
    </xf>
    <xf borderId="2" fillId="8" fontId="3" numFmtId="0" xfId="0" applyBorder="1" applyFont="1"/>
    <xf borderId="3" fillId="8" fontId="3" numFmtId="0" xfId="0" applyBorder="1" applyFont="1"/>
    <xf borderId="3" fillId="8" fontId="5" numFmtId="0" xfId="0" applyBorder="1" applyFont="1"/>
    <xf borderId="0" fillId="0" fontId="8" numFmtId="0" xfId="0" applyAlignment="1" applyFont="1">
      <alignment horizontal="left" shrinkToFit="0" wrapText="1"/>
    </xf>
    <xf borderId="0" fillId="0" fontId="3" numFmtId="0" xfId="0" applyAlignment="1" applyFont="1">
      <alignment horizontal="center"/>
    </xf>
    <xf borderId="0" fillId="0" fontId="3" numFmtId="0" xfId="0" applyAlignment="1" applyFont="1">
      <alignment horizontal="center"/>
    </xf>
    <xf borderId="0" fillId="0" fontId="3" numFmtId="0" xfId="0" applyFont="1"/>
    <xf borderId="0" fillId="0" fontId="9" numFmtId="0" xfId="0" applyAlignment="1" applyFont="1">
      <alignment horizontal="left"/>
    </xf>
    <xf borderId="0" fillId="0" fontId="9" numFmtId="0" xfId="0" applyAlignment="1" applyFont="1">
      <alignment horizontal="center"/>
    </xf>
    <xf borderId="0" fillId="0" fontId="5" numFmtId="0" xfId="0" applyAlignment="1" applyFont="1">
      <alignment horizontal="left"/>
    </xf>
    <xf borderId="0" fillId="0" fontId="10" numFmtId="0" xfId="0" applyAlignment="1" applyFont="1">
      <alignment horizontal="left"/>
    </xf>
    <xf borderId="0" fillId="0" fontId="11" numFmtId="0" xfId="0" applyAlignment="1" applyFont="1">
      <alignment horizontal="left"/>
    </xf>
    <xf borderId="3" fillId="8" fontId="11" numFmtId="0" xfId="0" applyAlignment="1" applyBorder="1" applyFont="1">
      <alignment horizontal="left"/>
    </xf>
    <xf borderId="3" fillId="8" fontId="12" numFmtId="0" xfId="0" applyAlignment="1" applyBorder="1" applyFont="1">
      <alignment horizontal="left"/>
    </xf>
    <xf borderId="3" fillId="8" fontId="5" numFmtId="0" xfId="0" applyAlignment="1" applyBorder="1" applyFont="1">
      <alignment horizontal="left"/>
    </xf>
    <xf borderId="3" fillId="8" fontId="10" numFmtId="0" xfId="0" applyAlignment="1" applyBorder="1" applyFont="1">
      <alignment horizontal="left"/>
    </xf>
    <xf borderId="3" fillId="9" fontId="10" numFmtId="0" xfId="0" applyAlignment="1" applyBorder="1" applyFill="1" applyFont="1">
      <alignment horizontal="left"/>
    </xf>
    <xf borderId="0" fillId="10" fontId="5" numFmtId="0" xfId="0" applyAlignment="1" applyFill="1" applyFont="1">
      <alignment horizontal="left"/>
    </xf>
    <xf borderId="0" fillId="10" fontId="10" numFmtId="0" xfId="0" applyAlignment="1" applyFont="1">
      <alignment horizontal="left"/>
    </xf>
    <xf borderId="0" fillId="10" fontId="11" numFmtId="0" xfId="0" applyAlignment="1" applyFont="1">
      <alignment horizontal="left" readingOrder="0"/>
    </xf>
    <xf borderId="0" fillId="10" fontId="11" numFmtId="0" xfId="0" applyAlignment="1" applyFont="1">
      <alignment horizontal="left"/>
    </xf>
    <xf borderId="3" fillId="11" fontId="11" numFmtId="0" xfId="0" applyAlignment="1" applyBorder="1" applyFill="1" applyFont="1">
      <alignment horizontal="left"/>
    </xf>
    <xf borderId="3" fillId="11" fontId="10" numFmtId="0" xfId="0" applyAlignment="1" applyBorder="1" applyFont="1">
      <alignment horizontal="left"/>
    </xf>
    <xf borderId="3" fillId="11" fontId="5" numFmtId="0" xfId="0" applyAlignment="1" applyBorder="1" applyFont="1">
      <alignment horizontal="left"/>
    </xf>
    <xf borderId="3" fillId="8" fontId="11" numFmtId="0" xfId="0" applyAlignment="1" applyBorder="1" applyFont="1">
      <alignment horizontal="left" readingOrder="0"/>
    </xf>
    <xf borderId="0" fillId="12" fontId="11" numFmtId="0" xfId="0" applyAlignment="1" applyFill="1" applyFont="1">
      <alignment horizontal="left"/>
    </xf>
    <xf borderId="0" fillId="12" fontId="10" numFmtId="0" xfId="0" applyAlignment="1" applyFont="1">
      <alignment horizontal="left"/>
    </xf>
    <xf borderId="0" fillId="12" fontId="5" numFmtId="0" xfId="0" applyAlignment="1" applyFont="1">
      <alignment horizontal="left"/>
    </xf>
    <xf borderId="0" fillId="0" fontId="13" numFmtId="0" xfId="0" applyAlignment="1" applyFont="1">
      <alignment horizontal="left"/>
    </xf>
    <xf borderId="0" fillId="0" fontId="11" numFmtId="0" xfId="0" applyAlignment="1" applyFont="1">
      <alignment vertical="bottom"/>
    </xf>
    <xf borderId="0" fillId="10" fontId="11" numFmtId="0" xfId="0" applyAlignment="1" applyFont="1">
      <alignment vertical="bottom"/>
    </xf>
    <xf borderId="3" fillId="10" fontId="11" numFmtId="0" xfId="0" applyAlignment="1" applyBorder="1" applyFont="1">
      <alignment horizontal="left"/>
    </xf>
    <xf borderId="3" fillId="10" fontId="10" numFmtId="0" xfId="0" applyAlignment="1" applyBorder="1" applyFont="1">
      <alignment horizontal="left"/>
    </xf>
    <xf borderId="3" fillId="11" fontId="11" numFmtId="0" xfId="0" applyAlignment="1" applyBorder="1" applyFont="1">
      <alignment vertical="bottom"/>
    </xf>
    <xf borderId="3" fillId="10" fontId="5" numFmtId="0" xfId="0" applyAlignment="1" applyBorder="1" applyFont="1">
      <alignment horizontal="left"/>
    </xf>
    <xf borderId="3" fillId="8" fontId="11" numFmtId="0" xfId="0" applyAlignment="1" applyBorder="1" applyFont="1">
      <alignment vertical="bottom"/>
    </xf>
    <xf borderId="0" fillId="12" fontId="11" numFmtId="0" xfId="0" applyAlignment="1" applyFont="1">
      <alignment vertical="bottom"/>
    </xf>
    <xf borderId="0" fillId="0" fontId="9" numFmtId="0" xfId="0" applyAlignment="1" applyFont="1">
      <alignment horizontal="left" readingOrder="0"/>
    </xf>
    <xf borderId="3" fillId="9" fontId="14" numFmtId="0" xfId="0" applyAlignment="1" applyBorder="1" applyFont="1">
      <alignment horizontal="left"/>
    </xf>
    <xf borderId="1" fillId="2" fontId="2" numFmtId="0" xfId="0" applyBorder="1" applyFont="1"/>
    <xf borderId="1" fillId="2" fontId="2" numFmtId="0" xfId="0" applyAlignment="1" applyBorder="1" applyFont="1">
      <alignment horizontal="center"/>
    </xf>
    <xf borderId="1" fillId="2" fontId="15" numFmtId="0" xfId="0" applyAlignment="1" applyBorder="1" applyFont="1">
      <alignment horizontal="center"/>
    </xf>
    <xf borderId="1" fillId="13" fontId="16" numFmtId="0" xfId="0" applyBorder="1" applyFill="1" applyFont="1"/>
    <xf borderId="1" fillId="13" fontId="3" numFmtId="0" xfId="0" applyBorder="1" applyFont="1"/>
    <xf borderId="1" fillId="13" fontId="3" numFmtId="0" xfId="0" applyAlignment="1" applyBorder="1" applyFont="1">
      <alignment horizontal="center"/>
    </xf>
    <xf borderId="1" fillId="13" fontId="16" numFmtId="0" xfId="0" applyAlignment="1" applyBorder="1" applyFont="1">
      <alignment horizontal="center"/>
    </xf>
    <xf borderId="1" fillId="9" fontId="16" numFmtId="0" xfId="0" applyBorder="1" applyFont="1"/>
    <xf borderId="1" fillId="9" fontId="3" numFmtId="0" xfId="0" applyBorder="1" applyFont="1"/>
    <xf borderId="1" fillId="9" fontId="3" numFmtId="0" xfId="0" applyAlignment="1" applyBorder="1" applyFont="1">
      <alignment horizontal="center"/>
    </xf>
    <xf borderId="1" fillId="9" fontId="16" numFmtId="0" xfId="0" applyAlignment="1" applyBorder="1" applyFont="1">
      <alignment horizontal="center"/>
    </xf>
    <xf borderId="1" fillId="4" fontId="16" numFmtId="0" xfId="0" applyBorder="1" applyFont="1"/>
    <xf borderId="1" fillId="4" fontId="3" numFmtId="0" xfId="0" applyBorder="1" applyFont="1"/>
    <xf borderId="1" fillId="4" fontId="3" numFmtId="0" xfId="0" applyAlignment="1" applyBorder="1" applyFont="1">
      <alignment horizontal="center"/>
    </xf>
    <xf borderId="1" fillId="13" fontId="15" numFmtId="0" xfId="0" applyBorder="1" applyFont="1"/>
    <xf borderId="0" fillId="5" fontId="17" numFmtId="0" xfId="0" applyFont="1"/>
    <xf borderId="0" fillId="14" fontId="5" numFmtId="0" xfId="0" applyFill="1" applyFont="1"/>
    <xf borderId="0" fillId="14" fontId="4" numFmtId="0" xfId="0" applyFont="1"/>
    <xf borderId="0" fillId="0" fontId="4" numFmtId="0" xfId="0" applyFont="1"/>
    <xf borderId="0" fillId="9" fontId="18" numFmtId="0" xfId="0" applyAlignment="1" applyFont="1">
      <alignment horizontal="left"/>
    </xf>
    <xf borderId="0" fillId="14" fontId="3" numFmtId="0" xfId="0" applyFont="1"/>
    <xf borderId="3" fillId="13" fontId="16" numFmtId="0" xfId="0" applyBorder="1" applyFont="1"/>
    <xf borderId="1" fillId="13" fontId="7" numFmtId="0" xfId="0" applyAlignment="1" applyBorder="1" applyFont="1">
      <alignment horizontal="center"/>
    </xf>
    <xf borderId="3" fillId="9" fontId="16" numFmtId="0" xfId="0" applyBorder="1" applyFont="1"/>
    <xf borderId="1" fillId="9" fontId="7" numFmtId="0" xfId="0" applyAlignment="1" applyBorder="1" applyFont="1">
      <alignment horizontal="center"/>
    </xf>
    <xf borderId="1" fillId="15" fontId="19" numFmtId="0" xfId="0" applyAlignment="1" applyBorder="1" applyFill="1" applyFont="1">
      <alignment horizontal="left" shrinkToFit="0" vertical="top" wrapText="1"/>
    </xf>
    <xf borderId="5" fillId="15" fontId="20" numFmtId="0" xfId="0" applyAlignment="1" applyBorder="1" applyFont="1">
      <alignment horizontal="left" shrinkToFit="0" vertical="top" wrapText="1"/>
    </xf>
    <xf borderId="6" fillId="16" fontId="21" numFmtId="0" xfId="0" applyAlignment="1" applyBorder="1" applyFill="1" applyFont="1">
      <alignment shrinkToFit="0" vertical="top" wrapText="1"/>
    </xf>
    <xf borderId="6" fillId="10" fontId="21" numFmtId="0" xfId="0" applyAlignment="1" applyBorder="1" applyFont="1">
      <alignment shrinkToFit="0" vertical="top" wrapText="1"/>
    </xf>
    <xf borderId="3" fillId="10" fontId="3" numFmtId="0" xfId="0" applyBorder="1" applyFont="1"/>
    <xf borderId="3" fillId="10" fontId="5" numFmtId="0" xfId="0" applyBorder="1" applyFont="1"/>
    <xf borderId="7" fillId="16" fontId="21" numFmtId="0" xfId="0" applyAlignment="1" applyBorder="1" applyFont="1">
      <alignment shrinkToFit="0" vertical="top" wrapText="1"/>
    </xf>
    <xf borderId="8" fillId="16" fontId="21" numFmtId="0" xfId="0" applyAlignment="1" applyBorder="1" applyFont="1">
      <alignment shrinkToFit="0" vertical="top" wrapText="1"/>
    </xf>
    <xf borderId="9" fillId="0" fontId="22" numFmtId="0" xfId="0" applyBorder="1" applyFont="1"/>
    <xf borderId="10" fillId="16" fontId="21" numFmtId="0" xfId="0" applyAlignment="1" applyBorder="1" applyFont="1">
      <alignment shrinkToFit="0" vertical="top" wrapText="1"/>
    </xf>
    <xf borderId="8" fillId="10" fontId="21" numFmtId="0" xfId="0" applyAlignment="1" applyBorder="1" applyFont="1">
      <alignment shrinkToFit="0" vertical="top" wrapText="1"/>
    </xf>
    <xf borderId="5" fillId="16" fontId="21" numFmtId="0" xfId="0" applyAlignment="1" applyBorder="1" applyFont="1">
      <alignment shrinkToFit="0" vertical="top" wrapText="1"/>
    </xf>
    <xf borderId="3" fillId="17" fontId="5" numFmtId="0" xfId="0" applyBorder="1" applyFill="1" applyFont="1"/>
    <xf borderId="3" fillId="17" fontId="3" numFmtId="0" xfId="0" applyBorder="1" applyFont="1"/>
    <xf borderId="3" fillId="13" fontId="8" numFmtId="0" xfId="0" applyAlignment="1" applyBorder="1" applyFont="1">
      <alignment horizontal="left" shrinkToFit="0" wrapText="1"/>
    </xf>
    <xf borderId="0" fillId="0" fontId="3" numFmtId="16" xfId="0" applyFont="1" applyNumberFormat="1"/>
    <xf borderId="3" fillId="9" fontId="8" numFmtId="0" xfId="0" applyAlignment="1" applyBorder="1" applyFont="1">
      <alignment horizontal="left" shrinkToFit="0" wrapText="1"/>
    </xf>
    <xf borderId="0" fillId="0" fontId="3" numFmtId="17" xfId="0" applyFont="1" applyNumberFormat="1"/>
    <xf borderId="0" fillId="0" fontId="23" numFmtId="0" xfId="0" applyFont="1"/>
    <xf borderId="1" fillId="7" fontId="24" numFmtId="0" xfId="0" applyAlignment="1" applyBorder="1" applyFont="1">
      <alignment horizontal="center"/>
    </xf>
    <xf borderId="1" fillId="8" fontId="25" numFmtId="0" xfId="0" applyBorder="1" applyFont="1"/>
    <xf borderId="1" fillId="2" fontId="15" numFmtId="0" xfId="0" applyAlignment="1" applyBorder="1" applyFont="1">
      <alignment horizontal="center"/>
    </xf>
    <xf borderId="3" fillId="7" fontId="26" numFmtId="0" xfId="0" applyBorder="1" applyFont="1"/>
    <xf borderId="0" fillId="0" fontId="26" numFmtId="0" xfId="0" applyFont="1"/>
    <xf borderId="1" fillId="0" fontId="24" numFmtId="0" xfId="0" applyAlignment="1" applyBorder="1" applyFont="1">
      <alignment horizontal="center"/>
    </xf>
    <xf borderId="1" fillId="0" fontId="24" numFmtId="0" xfId="0" applyBorder="1" applyFont="1"/>
    <xf borderId="1" fillId="0" fontId="26" numFmtId="0" xfId="0" applyBorder="1" applyFont="1"/>
    <xf borderId="1" fillId="0" fontId="27" numFmtId="0" xfId="0" applyAlignment="1" applyBorder="1" applyFont="1">
      <alignment horizontal="center"/>
    </xf>
    <xf borderId="0" fillId="0" fontId="25" numFmtId="0" xfId="0" applyFont="1"/>
    <xf borderId="0" fillId="0" fontId="26" numFmtId="0" xfId="0" applyFont="1"/>
    <xf borderId="0" fillId="0" fontId="11" numFmtId="0" xfId="0" applyFont="1"/>
    <xf borderId="0" fillId="0" fontId="24" numFmtId="0" xfId="0" applyFont="1"/>
    <xf borderId="0" fillId="0" fontId="28" numFmtId="0" xfId="0" applyFont="1"/>
    <xf borderId="0" fillId="0" fontId="29" numFmtId="0" xfId="0" applyFont="1"/>
    <xf borderId="1" fillId="9" fontId="30" numFmtId="0" xfId="0" applyAlignment="1" applyBorder="1" applyFont="1">
      <alignment horizontal="left"/>
    </xf>
    <xf borderId="1" fillId="0" fontId="24" numFmtId="0" xfId="0" applyAlignment="1" applyBorder="1" applyFont="1">
      <alignment horizontal="center"/>
    </xf>
    <xf borderId="1" fillId="0" fontId="24" numFmtId="0" xfId="0" applyBorder="1" applyFont="1"/>
    <xf borderId="1" fillId="0" fontId="26" numFmtId="0" xfId="0" applyBorder="1" applyFont="1"/>
    <xf borderId="1" fillId="0" fontId="27" numFmtId="0" xfId="0" applyAlignment="1" applyBorder="1" applyFont="1">
      <alignment horizontal="center"/>
    </xf>
    <xf borderId="0" fillId="0" fontId="25" numFmtId="0" xfId="0" applyFont="1"/>
    <xf borderId="0" fillId="0" fontId="24" numFmtId="0" xfId="0" applyFont="1"/>
    <xf borderId="0" fillId="0" fontId="31" numFmtId="0" xfId="0" applyFont="1"/>
    <xf borderId="0" fillId="0" fontId="32" numFmtId="0" xfId="0" applyFont="1"/>
    <xf borderId="3" fillId="18" fontId="15" numFmtId="0" xfId="0" applyAlignment="1" applyBorder="1" applyFill="1" applyFont="1">
      <alignment horizontal="center"/>
    </xf>
    <xf borderId="0" fillId="0" fontId="16" numFmtId="0" xfId="0" applyFont="1"/>
    <xf borderId="0" fillId="0" fontId="11" numFmtId="0" xfId="0" applyFont="1"/>
    <xf borderId="3" fillId="4" fontId="15" numFmtId="0" xfId="0" applyBorder="1" applyFont="1"/>
    <xf borderId="3" fillId="4" fontId="16" numFmtId="0" xfId="0" applyBorder="1" applyFont="1"/>
    <xf borderId="0" fillId="0" fontId="15" numFmtId="0" xfId="0" applyFont="1"/>
    <xf borderId="3" fillId="8" fontId="15" numFmtId="0" xfId="0" applyBorder="1" applyFont="1"/>
    <xf borderId="3" fillId="8" fontId="16" numFmtId="0" xfId="0" applyBorder="1" applyFont="1"/>
    <xf borderId="3" fillId="9" fontId="20" numFmtId="0" xfId="0" applyAlignment="1" applyBorder="1" applyFont="1">
      <alignment horizontal="left"/>
    </xf>
    <xf borderId="0" fillId="0" fontId="15" numFmtId="0" xfId="0" applyAlignment="1" applyFont="1">
      <alignment horizontal="center"/>
    </xf>
    <xf borderId="1" fillId="18" fontId="15" numFmtId="0" xfId="0" applyAlignment="1" applyBorder="1" applyFont="1">
      <alignment horizontal="center"/>
    </xf>
    <xf borderId="3" fillId="18" fontId="16" numFmtId="0" xfId="0" applyAlignment="1" applyBorder="1" applyFont="1">
      <alignment horizontal="center"/>
    </xf>
    <xf borderId="3" fillId="4" fontId="11" numFmtId="0" xfId="0" applyAlignment="1" applyBorder="1" applyFont="1">
      <alignment horizontal="center"/>
    </xf>
    <xf borderId="0" fillId="0" fontId="16" numFmtId="0" xfId="0" applyAlignment="1" applyFont="1">
      <alignment horizontal="left"/>
    </xf>
    <xf borderId="3" fillId="18" fontId="25" numFmtId="0" xfId="0" applyAlignment="1" applyBorder="1" applyFont="1">
      <alignment horizontal="center"/>
    </xf>
    <xf borderId="3" fillId="18" fontId="33" numFmtId="0" xfId="0" applyAlignment="1" applyBorder="1" applyFont="1">
      <alignment horizontal="center"/>
    </xf>
    <xf borderId="0" fillId="0" fontId="34" numFmtId="0" xfId="0" applyFont="1"/>
    <xf borderId="3" fillId="18" fontId="2" numFmtId="0" xfId="0" applyAlignment="1" applyBorder="1" applyFont="1">
      <alignment horizontal="center"/>
    </xf>
    <xf borderId="3" fillId="5" fontId="16" numFmtId="0" xfId="0" applyBorder="1" applyFont="1"/>
    <xf borderId="3" fillId="9" fontId="35" numFmtId="0" xfId="0" applyAlignment="1" applyBorder="1" applyFont="1">
      <alignment horizontal="left"/>
    </xf>
    <xf borderId="3" fillId="9" fontId="36" numFmtId="0" xfId="0" applyBorder="1" applyFont="1"/>
    <xf borderId="3" fillId="9" fontId="37" numFmtId="0" xfId="0" applyBorder="1" applyFont="1"/>
    <xf borderId="0" fillId="0" fontId="38" numFmtId="0" xfId="0" applyFont="1"/>
    <xf borderId="3" fillId="9" fontId="39" numFmtId="0" xfId="0" applyBorder="1" applyFont="1"/>
    <xf borderId="3" fillId="9" fontId="40" numFmtId="0" xfId="0" applyBorder="1" applyFont="1"/>
    <xf borderId="3" fillId="18" fontId="16" numFmtId="0" xfId="0" applyBorder="1" applyFont="1"/>
    <xf borderId="3" fillId="9" fontId="41" numFmtId="0" xfId="0" applyBorder="1" applyFont="1"/>
    <xf borderId="3" fillId="9" fontId="42" numFmtId="0" xfId="0" applyAlignment="1" applyBorder="1" applyFont="1">
      <alignment horizontal="left"/>
    </xf>
    <xf borderId="3" fillId="9" fontId="43" numFmtId="0" xfId="0" applyBorder="1" applyFont="1"/>
    <xf borderId="0" fillId="0" fontId="43" numFmtId="0" xfId="0" applyFont="1"/>
    <xf borderId="0" fillId="0" fontId="44" numFmtId="0" xfId="0" applyFont="1"/>
    <xf borderId="3" fillId="9" fontId="45" numFmtId="0" xfId="0" applyBorder="1" applyFont="1"/>
    <xf borderId="0" fillId="0" fontId="24" numFmtId="0" xfId="0" applyAlignment="1" applyFont="1">
      <alignment horizontal="left"/>
    </xf>
    <xf borderId="3" fillId="9" fontId="46" numFmtId="0" xfId="0" applyAlignment="1" applyBorder="1" applyFont="1">
      <alignment horizontal="left"/>
    </xf>
    <xf borderId="3" fillId="18" fontId="47" numFmtId="0" xfId="0" applyAlignment="1" applyBorder="1" applyFont="1">
      <alignment horizontal="left" shrinkToFit="0" wrapText="1"/>
    </xf>
    <xf borderId="0" fillId="0" fontId="48" numFmtId="0" xfId="0" applyAlignment="1" applyFont="1">
      <alignment horizontal="left" shrinkToFit="0" wrapText="1"/>
    </xf>
    <xf borderId="3" fillId="18" fontId="49" numFmtId="0" xfId="0" applyBorder="1" applyFont="1"/>
    <xf borderId="3" fillId="9" fontId="50" numFmtId="0" xfId="0" applyBorder="1" applyFont="1"/>
    <xf borderId="3" fillId="9" fontId="51" numFmtId="0" xfId="0" applyBorder="1" applyFont="1"/>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4">
    <tableStyle count="3" pivot="0" name="Fees Details-style">
      <tableStyleElement dxfId="1" type="headerRow"/>
      <tableStyleElement dxfId="2" type="firstRowStripe"/>
      <tableStyleElement dxfId="3" type="secondRowStripe"/>
    </tableStyle>
    <tableStyle count="2" pivot="0" name="ISO Rate List-style">
      <tableStyleElement dxfId="3" type="firstRowStripe"/>
      <tableStyleElement dxfId="2" type="secondRowStripe"/>
    </tableStyle>
    <tableStyle count="2" pivot="0" name="ISO Rate List-style 2">
      <tableStyleElement dxfId="3" type="firstRowStripe"/>
      <tableStyleElement dxfId="2" type="secondRowStripe"/>
    </tableStyle>
    <tableStyle count="2" pivot="0" name="ISO Rate List-style 3">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Z11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Fees Detail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K64" displayName="Table_2" name="Table_2" id="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ISO Rate List-style" showColumnStripes="0" showFirstColumn="1" showLastColumn="1" showRowStripes="1"/>
</table>
</file>

<file path=xl/tables/table3.xml><?xml version="1.0" encoding="utf-8"?>
<table xmlns="http://schemas.openxmlformats.org/spreadsheetml/2006/main" headerRowCount="0" ref="A69:H75"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ISO Rate List-style 2" showColumnStripes="0" showFirstColumn="1" showLastColumn="1" showRowStripes="1"/>
</table>
</file>

<file path=xl/tables/table4.xml><?xml version="1.0" encoding="utf-8"?>
<table xmlns="http://schemas.openxmlformats.org/spreadsheetml/2006/main" headerRowCount="0" ref="A78:H84" displayName="Table_4" name="Table_4" id="4">
  <tableColumns count="8">
    <tableColumn name="Column1" id="1"/>
    <tableColumn name="Column2" id="2"/>
    <tableColumn name="Column3" id="3"/>
    <tableColumn name="Column4" id="4"/>
    <tableColumn name="Column5" id="5"/>
    <tableColumn name="Column6" id="6"/>
    <tableColumn name="Column7" id="7"/>
    <tableColumn name="Column8" id="8"/>
  </tableColumns>
  <tableStyleInfo name="ISO Rate List-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stariso.co.uk/clients" TargetMode="External"/><Relationship Id="rId2" Type="http://schemas.openxmlformats.org/officeDocument/2006/relationships/hyperlink" Target="https://www.gaafs.us/certified-organizations" TargetMode="External"/><Relationship Id="rId3" Type="http://schemas.openxmlformats.org/officeDocument/2006/relationships/hyperlink" Target="http://www.icvassessments.com/certified-organisation" TargetMode="External"/><Relationship Id="rId4" Type="http://schemas.openxmlformats.org/officeDocument/2006/relationships/hyperlink" Target="http://qrocert.org/verify.aspx" TargetMode="External"/><Relationship Id="rId11" Type="http://schemas.openxmlformats.org/officeDocument/2006/relationships/table" Target="../tables/table2.xml"/><Relationship Id="rId13" Type="http://schemas.openxmlformats.org/officeDocument/2006/relationships/table" Target="../tables/table4.xml"/><Relationship Id="rId12" Type="http://schemas.openxmlformats.org/officeDocument/2006/relationships/table" Target="../tables/table3.xml"/><Relationship Id="rId5" Type="http://schemas.openxmlformats.org/officeDocument/2006/relationships/hyperlink" Target="https://sckcerts.com/search-client/" TargetMode="External"/><Relationship Id="rId6" Type="http://schemas.openxmlformats.org/officeDocument/2006/relationships/hyperlink" Target="http://www.iafcertsearch.org/"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corpbiz.io/residential-rental-agreemen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7.29"/>
    <col customWidth="1" min="2" max="2" width="112.43"/>
    <col customWidth="1" min="3" max="3" width="15.29"/>
    <col customWidth="1" min="4" max="4" width="12.86"/>
    <col customWidth="1" min="5" max="5" width="13.71"/>
    <col customWidth="1" min="6" max="6" width="17.29"/>
    <col customWidth="1" min="7" max="7" width="18.43"/>
    <col customWidth="1" min="8" max="8" width="24.14"/>
    <col customWidth="1" min="9" max="9" width="18.57"/>
    <col customWidth="1" min="10" max="10" width="16.43"/>
    <col customWidth="1" min="11" max="11" width="20.71"/>
    <col customWidth="1" min="12" max="12" width="29.29"/>
    <col customWidth="1" min="13" max="13" width="23.14"/>
    <col customWidth="1" min="14" max="14" width="28.86"/>
    <col customWidth="1" min="15" max="15" width="13.86"/>
    <col customWidth="1" min="16" max="27" width="8.71"/>
  </cols>
  <sheetData>
    <row r="1" ht="24.75" customHeight="1">
      <c r="A1" s="1" t="s">
        <v>0</v>
      </c>
      <c r="B1" s="2" t="s">
        <v>1</v>
      </c>
      <c r="C1" s="2" t="s">
        <v>2</v>
      </c>
      <c r="D1" s="2" t="s">
        <v>3</v>
      </c>
      <c r="E1" s="3" t="s">
        <v>4</v>
      </c>
      <c r="F1" s="3" t="s">
        <v>5</v>
      </c>
      <c r="G1" s="4" t="s">
        <v>6</v>
      </c>
      <c r="H1" s="2" t="s">
        <v>7</v>
      </c>
      <c r="I1" s="2" t="s">
        <v>8</v>
      </c>
      <c r="J1" s="2" t="s">
        <v>9</v>
      </c>
      <c r="K1" s="2" t="s">
        <v>10</v>
      </c>
      <c r="L1" s="2" t="s">
        <v>11</v>
      </c>
      <c r="M1" s="2" t="s">
        <v>12</v>
      </c>
      <c r="N1" s="2" t="s">
        <v>13</v>
      </c>
      <c r="O1" s="2"/>
      <c r="P1" s="2"/>
      <c r="Q1" s="2"/>
      <c r="R1" s="2"/>
      <c r="S1" s="2"/>
      <c r="T1" s="5"/>
      <c r="U1" s="5"/>
      <c r="V1" s="5"/>
      <c r="W1" s="5"/>
      <c r="X1" s="5"/>
      <c r="Y1" s="5"/>
      <c r="Z1" s="5"/>
    </row>
    <row r="2" ht="24.75" customHeight="1">
      <c r="A2" s="6"/>
      <c r="B2" s="7" t="s">
        <v>14</v>
      </c>
      <c r="C2" s="7"/>
      <c r="D2" s="8"/>
      <c r="E2" s="6"/>
      <c r="F2" s="6"/>
      <c r="G2" s="9"/>
      <c r="H2" s="8"/>
      <c r="I2" s="8"/>
      <c r="J2" s="8"/>
      <c r="K2" s="8"/>
      <c r="L2" s="8"/>
      <c r="M2" s="8"/>
      <c r="N2" s="8"/>
      <c r="O2" s="8"/>
      <c r="P2" s="8"/>
      <c r="Q2" s="8"/>
      <c r="R2" s="8"/>
      <c r="S2" s="8"/>
      <c r="T2" s="10"/>
      <c r="U2" s="10"/>
      <c r="V2" s="10"/>
      <c r="W2" s="10"/>
      <c r="X2" s="10"/>
      <c r="Y2" s="10"/>
      <c r="Z2" s="10"/>
      <c r="AA2" s="11"/>
    </row>
    <row r="3" ht="24.75" customHeight="1">
      <c r="A3" s="12">
        <v>1.0</v>
      </c>
      <c r="B3" s="13" t="s">
        <v>15</v>
      </c>
      <c r="C3" s="13">
        <v>800.0</v>
      </c>
      <c r="D3" s="13" t="s">
        <v>16</v>
      </c>
      <c r="E3" s="12" t="s">
        <v>17</v>
      </c>
      <c r="F3" s="12">
        <v>1000.0</v>
      </c>
      <c r="G3" s="14" t="s">
        <v>18</v>
      </c>
      <c r="H3" s="13"/>
      <c r="I3" s="13"/>
      <c r="J3" s="13"/>
      <c r="K3" s="13"/>
      <c r="L3" s="13"/>
      <c r="M3" s="13"/>
      <c r="N3" s="13"/>
      <c r="O3" s="13"/>
      <c r="P3" s="13"/>
      <c r="Q3" s="13"/>
      <c r="R3" s="13"/>
      <c r="S3" s="13"/>
      <c r="T3" s="15"/>
      <c r="U3" s="15"/>
      <c r="V3" s="15"/>
      <c r="W3" s="15"/>
      <c r="X3" s="15"/>
      <c r="Y3" s="15"/>
      <c r="Z3" s="15"/>
    </row>
    <row r="4" ht="24.75" customHeight="1">
      <c r="A4" s="12">
        <v>2.0</v>
      </c>
      <c r="B4" s="13" t="s">
        <v>19</v>
      </c>
      <c r="C4" s="13">
        <v>300.0</v>
      </c>
      <c r="D4" s="13" t="s">
        <v>20</v>
      </c>
      <c r="E4" s="12" t="s">
        <v>17</v>
      </c>
      <c r="F4" s="12">
        <v>300.0</v>
      </c>
      <c r="G4" s="14" t="s">
        <v>21</v>
      </c>
      <c r="H4" s="13">
        <v>2000.0</v>
      </c>
      <c r="I4" s="13" t="s">
        <v>22</v>
      </c>
      <c r="J4" s="13" t="s">
        <v>23</v>
      </c>
      <c r="K4" s="13" t="s">
        <v>24</v>
      </c>
      <c r="L4" s="13" t="s">
        <v>25</v>
      </c>
      <c r="M4" s="13"/>
      <c r="N4" s="13"/>
      <c r="O4" s="13"/>
      <c r="P4" s="13"/>
      <c r="Q4" s="13"/>
      <c r="R4" s="13"/>
      <c r="S4" s="13"/>
      <c r="T4" s="15"/>
      <c r="U4" s="15"/>
      <c r="V4" s="15"/>
      <c r="W4" s="15"/>
      <c r="X4" s="15"/>
      <c r="Y4" s="15"/>
      <c r="Z4" s="15"/>
    </row>
    <row r="5" ht="24.75" customHeight="1">
      <c r="A5" s="12">
        <v>3.0</v>
      </c>
      <c r="B5" s="13" t="s">
        <v>26</v>
      </c>
      <c r="C5" s="13">
        <v>500.0</v>
      </c>
      <c r="D5" s="13" t="s">
        <v>20</v>
      </c>
      <c r="E5" s="12" t="s">
        <v>17</v>
      </c>
      <c r="F5" s="12">
        <v>500.0</v>
      </c>
      <c r="G5" s="14" t="s">
        <v>27</v>
      </c>
      <c r="H5" s="13">
        <v>3000.0</v>
      </c>
      <c r="I5" s="13" t="s">
        <v>22</v>
      </c>
      <c r="J5" s="13" t="s">
        <v>23</v>
      </c>
      <c r="K5" s="13" t="s">
        <v>24</v>
      </c>
      <c r="L5" s="13" t="s">
        <v>25</v>
      </c>
      <c r="M5" s="13"/>
      <c r="N5" s="13"/>
      <c r="O5" s="13"/>
      <c r="P5" s="13"/>
      <c r="Q5" s="13"/>
      <c r="R5" s="13"/>
      <c r="S5" s="13"/>
      <c r="T5" s="15"/>
      <c r="U5" s="15"/>
      <c r="V5" s="15"/>
      <c r="W5" s="15"/>
      <c r="X5" s="15"/>
      <c r="Y5" s="15"/>
      <c r="Z5" s="15"/>
    </row>
    <row r="6" ht="24.75" customHeight="1">
      <c r="A6" s="12">
        <v>4.0</v>
      </c>
      <c r="B6" s="13" t="s">
        <v>28</v>
      </c>
      <c r="C6" s="13">
        <v>750.0</v>
      </c>
      <c r="D6" s="13" t="s">
        <v>20</v>
      </c>
      <c r="E6" s="12" t="s">
        <v>17</v>
      </c>
      <c r="F6" s="12">
        <v>500.0</v>
      </c>
      <c r="G6" s="14" t="s">
        <v>29</v>
      </c>
      <c r="H6" s="13">
        <v>5000.0</v>
      </c>
      <c r="I6" s="13" t="s">
        <v>22</v>
      </c>
      <c r="J6" s="13" t="s">
        <v>23</v>
      </c>
      <c r="K6" s="13" t="s">
        <v>24</v>
      </c>
      <c r="L6" s="13" t="s">
        <v>25</v>
      </c>
      <c r="M6" s="13"/>
      <c r="N6" s="13"/>
      <c r="O6" s="13"/>
      <c r="P6" s="13"/>
      <c r="Q6" s="13"/>
      <c r="R6" s="13"/>
      <c r="S6" s="13"/>
      <c r="T6" s="15"/>
      <c r="U6" s="15"/>
      <c r="V6" s="15"/>
      <c r="W6" s="15"/>
      <c r="X6" s="15"/>
      <c r="Y6" s="15"/>
      <c r="Z6" s="15"/>
      <c r="AA6" s="16"/>
    </row>
    <row r="7" ht="24.75" customHeight="1">
      <c r="A7" s="12">
        <v>5.0</v>
      </c>
      <c r="B7" s="13" t="s">
        <v>30</v>
      </c>
      <c r="C7" s="13">
        <v>1000.0</v>
      </c>
      <c r="D7" s="13" t="s">
        <v>20</v>
      </c>
      <c r="E7" s="12" t="s">
        <v>17</v>
      </c>
      <c r="F7" s="12">
        <v>1000.0</v>
      </c>
      <c r="G7" s="14" t="s">
        <v>29</v>
      </c>
      <c r="H7" s="13">
        <v>10000.0</v>
      </c>
      <c r="I7" s="13" t="s">
        <v>22</v>
      </c>
      <c r="J7" s="13" t="s">
        <v>23</v>
      </c>
      <c r="K7" s="13" t="s">
        <v>24</v>
      </c>
      <c r="L7" s="13" t="s">
        <v>25</v>
      </c>
      <c r="M7" s="13"/>
      <c r="N7" s="13"/>
      <c r="O7" s="13"/>
      <c r="P7" s="13"/>
      <c r="Q7" s="13"/>
      <c r="R7" s="13"/>
      <c r="S7" s="13"/>
      <c r="T7" s="15"/>
      <c r="U7" s="15"/>
      <c r="V7" s="15"/>
      <c r="W7" s="15"/>
      <c r="X7" s="15"/>
      <c r="Y7" s="15"/>
      <c r="Z7" s="15"/>
      <c r="AA7" s="16"/>
    </row>
    <row r="8" ht="27.0" customHeight="1">
      <c r="A8" s="17">
        <v>6.0</v>
      </c>
      <c r="B8" s="13" t="s">
        <v>31</v>
      </c>
      <c r="C8" s="17">
        <v>1500.0</v>
      </c>
      <c r="D8" s="13" t="s">
        <v>20</v>
      </c>
      <c r="E8" s="12" t="s">
        <v>17</v>
      </c>
      <c r="F8" s="17">
        <v>1500.0</v>
      </c>
      <c r="G8" s="14" t="s">
        <v>29</v>
      </c>
      <c r="H8" s="17">
        <v>16000.0</v>
      </c>
      <c r="I8" s="18"/>
      <c r="J8" s="18"/>
      <c r="K8" s="18"/>
      <c r="L8" s="18"/>
      <c r="M8" s="18"/>
      <c r="N8" s="18"/>
      <c r="O8" s="18"/>
      <c r="P8" s="18"/>
      <c r="Q8" s="18"/>
      <c r="R8" s="18"/>
      <c r="S8" s="18"/>
      <c r="T8" s="18"/>
      <c r="U8" s="18"/>
      <c r="V8" s="18"/>
      <c r="W8" s="18"/>
      <c r="X8" s="18"/>
      <c r="Y8" s="18"/>
      <c r="Z8" s="18"/>
    </row>
    <row r="9" ht="24.75" customHeight="1">
      <c r="A9" s="19">
        <v>6.0</v>
      </c>
      <c r="B9" s="20" t="s">
        <v>32</v>
      </c>
      <c r="C9" s="20">
        <v>8000.0</v>
      </c>
      <c r="D9" s="20" t="s">
        <v>33</v>
      </c>
      <c r="E9" s="19" t="s">
        <v>17</v>
      </c>
      <c r="F9" s="19">
        <v>10000.0</v>
      </c>
      <c r="G9" s="21" t="s">
        <v>34</v>
      </c>
      <c r="H9" s="20"/>
      <c r="I9" s="20"/>
      <c r="J9" s="20"/>
      <c r="K9" s="20"/>
      <c r="L9" s="20"/>
      <c r="M9" s="20"/>
      <c r="N9" s="20"/>
      <c r="O9" s="20"/>
      <c r="P9" s="20"/>
      <c r="Q9" s="20"/>
      <c r="R9" s="20"/>
      <c r="S9" s="20"/>
      <c r="T9" s="22"/>
      <c r="U9" s="22"/>
      <c r="V9" s="22"/>
      <c r="W9" s="22"/>
      <c r="X9" s="22"/>
      <c r="Y9" s="22"/>
      <c r="Z9" s="22"/>
    </row>
    <row r="10" ht="24.75" customHeight="1">
      <c r="A10" s="19">
        <v>8.0</v>
      </c>
      <c r="B10" s="20" t="s">
        <v>35</v>
      </c>
      <c r="C10" s="20">
        <v>1000.0</v>
      </c>
      <c r="D10" s="20" t="s">
        <v>20</v>
      </c>
      <c r="E10" s="19" t="s">
        <v>17</v>
      </c>
      <c r="F10" s="19">
        <v>1500.0</v>
      </c>
      <c r="G10" s="21" t="s">
        <v>21</v>
      </c>
      <c r="H10" s="20"/>
      <c r="I10" s="20"/>
      <c r="J10" s="20"/>
      <c r="K10" s="20"/>
      <c r="L10" s="20"/>
      <c r="M10" s="20"/>
      <c r="N10" s="20"/>
      <c r="O10" s="20"/>
      <c r="P10" s="20"/>
      <c r="Q10" s="20"/>
      <c r="R10" s="20"/>
      <c r="S10" s="20"/>
      <c r="T10" s="22"/>
      <c r="U10" s="22"/>
      <c r="V10" s="22"/>
      <c r="W10" s="22"/>
      <c r="X10" s="22"/>
      <c r="Y10" s="22"/>
      <c r="Z10" s="22"/>
    </row>
    <row r="11" ht="24.75" customHeight="1">
      <c r="A11" s="19">
        <v>9.0</v>
      </c>
      <c r="B11" s="20" t="s">
        <v>36</v>
      </c>
      <c r="C11" s="20">
        <v>1500.0</v>
      </c>
      <c r="D11" s="20" t="s">
        <v>20</v>
      </c>
      <c r="E11" s="19" t="s">
        <v>17</v>
      </c>
      <c r="F11" s="19">
        <v>2000.0</v>
      </c>
      <c r="G11" s="21" t="s">
        <v>27</v>
      </c>
      <c r="H11" s="20"/>
      <c r="I11" s="20"/>
      <c r="J11" s="20"/>
      <c r="K11" s="20"/>
      <c r="L11" s="20"/>
      <c r="M11" s="20"/>
      <c r="N11" s="20"/>
      <c r="O11" s="20"/>
      <c r="P11" s="20"/>
      <c r="Q11" s="20"/>
      <c r="R11" s="20"/>
      <c r="S11" s="20"/>
      <c r="T11" s="22"/>
      <c r="U11" s="22"/>
      <c r="V11" s="22"/>
      <c r="W11" s="22"/>
      <c r="X11" s="22"/>
      <c r="Y11" s="22"/>
      <c r="Z11" s="22"/>
    </row>
    <row r="12" ht="24.75" customHeight="1">
      <c r="A12" s="19">
        <v>10.0</v>
      </c>
      <c r="B12" s="20" t="s">
        <v>37</v>
      </c>
      <c r="C12" s="20">
        <v>200.0</v>
      </c>
      <c r="D12" s="20" t="s">
        <v>16</v>
      </c>
      <c r="E12" s="19" t="s">
        <v>17</v>
      </c>
      <c r="F12" s="19">
        <v>500.0</v>
      </c>
      <c r="G12" s="21" t="s">
        <v>27</v>
      </c>
      <c r="H12" s="20"/>
      <c r="I12" s="20"/>
      <c r="J12" s="20"/>
      <c r="K12" s="20"/>
      <c r="L12" s="20"/>
      <c r="M12" s="20"/>
      <c r="N12" s="20"/>
      <c r="O12" s="20"/>
      <c r="P12" s="20"/>
      <c r="Q12" s="20"/>
      <c r="R12" s="20"/>
      <c r="S12" s="20"/>
      <c r="T12" s="22"/>
      <c r="U12" s="22"/>
      <c r="V12" s="22"/>
      <c r="W12" s="22"/>
      <c r="X12" s="22"/>
      <c r="Y12" s="22"/>
      <c r="Z12" s="22"/>
    </row>
    <row r="13" ht="24.75" customHeight="1">
      <c r="A13" s="19">
        <v>11.0</v>
      </c>
      <c r="B13" s="20" t="s">
        <v>38</v>
      </c>
      <c r="C13" s="20">
        <v>300.0</v>
      </c>
      <c r="D13" s="20" t="s">
        <v>16</v>
      </c>
      <c r="E13" s="19" t="s">
        <v>17</v>
      </c>
      <c r="F13" s="19">
        <v>500.0</v>
      </c>
      <c r="G13" s="21" t="s">
        <v>27</v>
      </c>
      <c r="H13" s="20"/>
      <c r="I13" s="20"/>
      <c r="J13" s="20"/>
      <c r="K13" s="20"/>
      <c r="L13" s="20"/>
      <c r="M13" s="20"/>
      <c r="N13" s="20"/>
      <c r="O13" s="20"/>
      <c r="P13" s="20"/>
      <c r="Q13" s="20"/>
      <c r="R13" s="20"/>
      <c r="S13" s="20"/>
      <c r="T13" s="22"/>
      <c r="U13" s="22"/>
      <c r="V13" s="22"/>
      <c r="W13" s="22"/>
      <c r="X13" s="22"/>
      <c r="Y13" s="22"/>
      <c r="Z13" s="22"/>
    </row>
    <row r="14" ht="24.75" customHeight="1">
      <c r="A14" s="19">
        <v>12.0</v>
      </c>
      <c r="B14" s="20" t="s">
        <v>39</v>
      </c>
      <c r="C14" s="20">
        <v>300.0</v>
      </c>
      <c r="D14" s="20" t="s">
        <v>16</v>
      </c>
      <c r="E14" s="19" t="s">
        <v>17</v>
      </c>
      <c r="F14" s="19">
        <v>500.0</v>
      </c>
      <c r="G14" s="21" t="s">
        <v>27</v>
      </c>
      <c r="H14" s="20"/>
      <c r="I14" s="20"/>
      <c r="J14" s="20"/>
      <c r="K14" s="20"/>
      <c r="L14" s="20"/>
      <c r="M14" s="20"/>
      <c r="N14" s="20"/>
      <c r="O14" s="20"/>
      <c r="P14" s="20"/>
      <c r="Q14" s="20"/>
      <c r="R14" s="20"/>
      <c r="S14" s="20"/>
      <c r="T14" s="22"/>
      <c r="U14" s="22"/>
      <c r="V14" s="22"/>
      <c r="W14" s="22"/>
      <c r="X14" s="22"/>
      <c r="Y14" s="22"/>
      <c r="Z14" s="22"/>
    </row>
    <row r="15" ht="24.75" customHeight="1">
      <c r="A15" s="19">
        <v>13.0</v>
      </c>
      <c r="B15" s="20" t="s">
        <v>40</v>
      </c>
      <c r="C15" s="20">
        <v>300.0</v>
      </c>
      <c r="D15" s="20" t="s">
        <v>16</v>
      </c>
      <c r="E15" s="19" t="s">
        <v>17</v>
      </c>
      <c r="F15" s="19">
        <v>500.0</v>
      </c>
      <c r="G15" s="21" t="s">
        <v>27</v>
      </c>
      <c r="H15" s="20"/>
      <c r="I15" s="20"/>
      <c r="J15" s="20"/>
      <c r="K15" s="20"/>
      <c r="L15" s="20"/>
      <c r="M15" s="20"/>
      <c r="N15" s="20"/>
      <c r="O15" s="20"/>
      <c r="P15" s="20"/>
      <c r="Q15" s="20"/>
      <c r="R15" s="20"/>
      <c r="S15" s="20"/>
      <c r="T15" s="22"/>
      <c r="U15" s="22"/>
      <c r="V15" s="22"/>
      <c r="W15" s="22"/>
      <c r="X15" s="22"/>
      <c r="Y15" s="22"/>
      <c r="Z15" s="22"/>
    </row>
    <row r="16" ht="24.75" customHeight="1">
      <c r="A16" s="19">
        <v>14.0</v>
      </c>
      <c r="B16" s="20" t="s">
        <v>41</v>
      </c>
      <c r="C16" s="20">
        <v>1000.0</v>
      </c>
      <c r="D16" s="20" t="s">
        <v>16</v>
      </c>
      <c r="E16" s="19" t="s">
        <v>17</v>
      </c>
      <c r="F16" s="19">
        <v>1000.0</v>
      </c>
      <c r="G16" s="21" t="s">
        <v>27</v>
      </c>
      <c r="H16" s="20"/>
      <c r="I16" s="20"/>
      <c r="J16" s="20"/>
      <c r="K16" s="20"/>
      <c r="L16" s="20"/>
      <c r="M16" s="20"/>
      <c r="N16" s="20"/>
      <c r="O16" s="20"/>
      <c r="P16" s="20"/>
      <c r="Q16" s="20"/>
      <c r="R16" s="20"/>
      <c r="S16" s="20"/>
      <c r="T16" s="22"/>
      <c r="U16" s="22"/>
      <c r="V16" s="22"/>
      <c r="W16" s="22"/>
      <c r="X16" s="22"/>
      <c r="Y16" s="22"/>
      <c r="Z16" s="22"/>
    </row>
    <row r="17" ht="24.75" customHeight="1">
      <c r="A17" s="19">
        <v>15.0</v>
      </c>
      <c r="B17" s="20" t="s">
        <v>42</v>
      </c>
      <c r="C17" s="20">
        <v>500.0</v>
      </c>
      <c r="D17" s="20" t="s">
        <v>16</v>
      </c>
      <c r="E17" s="19" t="s">
        <v>17</v>
      </c>
      <c r="F17" s="19">
        <v>3000.0</v>
      </c>
      <c r="G17" s="21" t="s">
        <v>27</v>
      </c>
      <c r="H17" s="20"/>
      <c r="I17" s="20"/>
      <c r="J17" s="20"/>
      <c r="K17" s="20"/>
      <c r="L17" s="20"/>
      <c r="M17" s="20"/>
      <c r="N17" s="20"/>
      <c r="O17" s="20"/>
      <c r="P17" s="20"/>
      <c r="Q17" s="20"/>
      <c r="R17" s="20"/>
      <c r="S17" s="20"/>
      <c r="T17" s="22"/>
      <c r="U17" s="22"/>
      <c r="V17" s="22"/>
      <c r="W17" s="22"/>
      <c r="X17" s="22"/>
      <c r="Y17" s="22"/>
      <c r="Z17" s="22"/>
    </row>
    <row r="18" ht="24.75" customHeight="1">
      <c r="A18" s="19">
        <v>16.0</v>
      </c>
      <c r="B18" s="20" t="s">
        <v>43</v>
      </c>
      <c r="C18" s="20">
        <v>500.0</v>
      </c>
      <c r="D18" s="20" t="s">
        <v>16</v>
      </c>
      <c r="E18" s="19" t="s">
        <v>17</v>
      </c>
      <c r="F18" s="19">
        <v>1000.0</v>
      </c>
      <c r="G18" s="21" t="s">
        <v>27</v>
      </c>
      <c r="H18" s="20"/>
      <c r="I18" s="20"/>
      <c r="J18" s="20"/>
      <c r="K18" s="20"/>
      <c r="L18" s="20"/>
      <c r="M18" s="20"/>
      <c r="N18" s="20"/>
      <c r="O18" s="20"/>
      <c r="P18" s="20"/>
      <c r="Q18" s="20"/>
      <c r="R18" s="20"/>
      <c r="S18" s="20"/>
      <c r="T18" s="22"/>
      <c r="U18" s="22"/>
      <c r="V18" s="22"/>
      <c r="W18" s="22"/>
      <c r="X18" s="22"/>
      <c r="Y18" s="22"/>
      <c r="Z18" s="22"/>
    </row>
    <row r="19" ht="24.75" customHeight="1">
      <c r="A19" s="12">
        <v>17.0</v>
      </c>
      <c r="B19" s="13" t="s">
        <v>44</v>
      </c>
      <c r="C19" s="13">
        <v>400.0</v>
      </c>
      <c r="D19" s="13" t="s">
        <v>20</v>
      </c>
      <c r="E19" s="12">
        <v>75.0</v>
      </c>
      <c r="F19" s="12">
        <v>325.0</v>
      </c>
      <c r="G19" s="14" t="s">
        <v>21</v>
      </c>
      <c r="H19" s="13">
        <v>4500.0</v>
      </c>
      <c r="I19" s="13" t="s">
        <v>45</v>
      </c>
      <c r="J19" s="13"/>
      <c r="K19" s="13"/>
      <c r="L19" s="13"/>
      <c r="M19" s="13"/>
      <c r="N19" s="13"/>
      <c r="O19" s="13"/>
      <c r="P19" s="13"/>
      <c r="Q19" s="13"/>
      <c r="R19" s="13"/>
      <c r="S19" s="13"/>
      <c r="T19" s="15"/>
      <c r="U19" s="15"/>
      <c r="V19" s="15"/>
      <c r="W19" s="15"/>
      <c r="X19" s="15"/>
      <c r="Y19" s="15"/>
      <c r="Z19" s="15"/>
    </row>
    <row r="20" ht="24.75" customHeight="1">
      <c r="A20" s="12">
        <v>18.0</v>
      </c>
      <c r="B20" s="13" t="s">
        <v>46</v>
      </c>
      <c r="C20" s="13">
        <v>1000.0</v>
      </c>
      <c r="D20" s="13" t="s">
        <v>20</v>
      </c>
      <c r="E20" s="12"/>
      <c r="F20" s="12"/>
      <c r="G20" s="14"/>
      <c r="H20" s="13"/>
      <c r="I20" s="13"/>
      <c r="J20" s="13"/>
      <c r="K20" s="13"/>
      <c r="L20" s="13"/>
      <c r="M20" s="13"/>
      <c r="N20" s="13"/>
      <c r="O20" s="13"/>
      <c r="P20" s="13"/>
      <c r="Q20" s="13"/>
      <c r="R20" s="13"/>
      <c r="S20" s="13"/>
      <c r="T20" s="15"/>
      <c r="U20" s="15"/>
      <c r="V20" s="15"/>
      <c r="W20" s="15"/>
      <c r="X20" s="15"/>
      <c r="Y20" s="15"/>
      <c r="Z20" s="15"/>
    </row>
    <row r="21" ht="24.75" customHeight="1">
      <c r="A21" s="12">
        <v>19.0</v>
      </c>
      <c r="B21" s="13" t="s">
        <v>47</v>
      </c>
      <c r="C21" s="13">
        <v>2000.0</v>
      </c>
      <c r="D21" s="13" t="s">
        <v>20</v>
      </c>
      <c r="E21" s="12"/>
      <c r="F21" s="12"/>
      <c r="G21" s="14"/>
      <c r="H21" s="13"/>
      <c r="I21" s="13"/>
      <c r="J21" s="13"/>
      <c r="K21" s="13"/>
      <c r="L21" s="13"/>
      <c r="M21" s="13"/>
      <c r="N21" s="13"/>
      <c r="O21" s="13"/>
      <c r="P21" s="13"/>
      <c r="Q21" s="13"/>
      <c r="R21" s="13"/>
      <c r="S21" s="13"/>
      <c r="T21" s="15"/>
      <c r="U21" s="15"/>
      <c r="V21" s="15"/>
      <c r="W21" s="15"/>
      <c r="X21" s="15"/>
      <c r="Y21" s="15"/>
      <c r="Z21" s="15"/>
    </row>
    <row r="22" ht="24.75" customHeight="1">
      <c r="A22" s="12"/>
      <c r="B22" s="13"/>
      <c r="C22" s="13"/>
      <c r="D22" s="13"/>
      <c r="E22" s="12"/>
      <c r="F22" s="12"/>
      <c r="G22" s="14"/>
      <c r="H22" s="13"/>
      <c r="I22" s="13"/>
      <c r="J22" s="13"/>
      <c r="K22" s="13"/>
      <c r="L22" s="13"/>
      <c r="M22" s="13"/>
      <c r="N22" s="13"/>
      <c r="O22" s="13"/>
      <c r="P22" s="13"/>
      <c r="Q22" s="13"/>
      <c r="R22" s="13"/>
      <c r="S22" s="13"/>
      <c r="T22" s="15"/>
      <c r="U22" s="15"/>
      <c r="V22" s="15"/>
      <c r="W22" s="15"/>
      <c r="X22" s="15"/>
      <c r="Y22" s="15"/>
      <c r="Z22" s="15"/>
    </row>
    <row r="23" ht="24.75" customHeight="1">
      <c r="A23" s="6"/>
      <c r="B23" s="7" t="s">
        <v>48</v>
      </c>
      <c r="C23" s="7"/>
      <c r="D23" s="8"/>
      <c r="E23" s="6"/>
      <c r="F23" s="6"/>
      <c r="G23" s="9"/>
      <c r="H23" s="8"/>
      <c r="I23" s="8"/>
      <c r="J23" s="8"/>
      <c r="K23" s="8"/>
      <c r="L23" s="8"/>
      <c r="M23" s="8"/>
      <c r="N23" s="8"/>
      <c r="O23" s="8"/>
      <c r="P23" s="8"/>
      <c r="Q23" s="8"/>
      <c r="R23" s="8"/>
      <c r="S23" s="8"/>
      <c r="T23" s="10"/>
      <c r="U23" s="10"/>
      <c r="V23" s="10"/>
      <c r="W23" s="10"/>
      <c r="X23" s="10"/>
      <c r="Y23" s="10"/>
      <c r="Z23" s="10"/>
      <c r="AA23" s="11"/>
    </row>
    <row r="24" ht="24.75" customHeight="1">
      <c r="A24" s="12">
        <v>17.0</v>
      </c>
      <c r="B24" s="13" t="s">
        <v>49</v>
      </c>
      <c r="C24" s="13">
        <v>800.0</v>
      </c>
      <c r="D24" s="13" t="s">
        <v>33</v>
      </c>
      <c r="E24" s="12" t="s">
        <v>17</v>
      </c>
      <c r="F24" s="12">
        <v>500.0</v>
      </c>
      <c r="G24" s="14" t="s">
        <v>21</v>
      </c>
      <c r="H24" s="13"/>
      <c r="I24" s="13" t="s">
        <v>50</v>
      </c>
      <c r="J24" s="13" t="s">
        <v>51</v>
      </c>
      <c r="K24" s="13"/>
      <c r="L24" s="13"/>
      <c r="M24" s="13"/>
      <c r="N24" s="13"/>
      <c r="O24" s="13"/>
      <c r="P24" s="13"/>
      <c r="Q24" s="13"/>
      <c r="R24" s="13"/>
      <c r="S24" s="13"/>
      <c r="T24" s="15"/>
      <c r="U24" s="15"/>
      <c r="V24" s="15"/>
      <c r="W24" s="15"/>
      <c r="X24" s="15"/>
      <c r="Y24" s="15"/>
      <c r="Z24" s="15"/>
    </row>
    <row r="25" ht="24.75" customHeight="1">
      <c r="A25" s="12"/>
      <c r="B25" s="13" t="s">
        <v>52</v>
      </c>
      <c r="C25" s="13">
        <v>1500.0</v>
      </c>
      <c r="D25" s="13" t="s">
        <v>33</v>
      </c>
      <c r="E25" s="12" t="s">
        <v>17</v>
      </c>
      <c r="F25" s="12">
        <v>1000.0</v>
      </c>
      <c r="G25" s="14" t="s">
        <v>27</v>
      </c>
      <c r="H25" s="13"/>
      <c r="I25" s="13" t="s">
        <v>50</v>
      </c>
      <c r="J25" s="13" t="s">
        <v>51</v>
      </c>
      <c r="K25" s="13"/>
      <c r="L25" s="13"/>
      <c r="M25" s="13"/>
      <c r="N25" s="13"/>
      <c r="O25" s="13"/>
      <c r="P25" s="13"/>
      <c r="Q25" s="13"/>
      <c r="R25" s="13"/>
      <c r="S25" s="13"/>
      <c r="T25" s="15"/>
      <c r="U25" s="15"/>
      <c r="V25" s="15"/>
      <c r="W25" s="15"/>
      <c r="X25" s="15"/>
      <c r="Y25" s="15"/>
      <c r="Z25" s="15"/>
    </row>
    <row r="26" ht="24.75" customHeight="1">
      <c r="A26" s="12"/>
      <c r="B26" s="13" t="s">
        <v>53</v>
      </c>
      <c r="C26" s="13">
        <v>2500.0</v>
      </c>
      <c r="D26" s="13"/>
      <c r="E26" s="12"/>
      <c r="F26" s="12"/>
      <c r="G26" s="14"/>
      <c r="H26" s="13"/>
      <c r="I26" s="13" t="s">
        <v>50</v>
      </c>
      <c r="J26" s="13" t="s">
        <v>51</v>
      </c>
      <c r="K26" s="13"/>
      <c r="L26" s="13"/>
      <c r="M26" s="13"/>
      <c r="N26" s="13"/>
      <c r="O26" s="13"/>
      <c r="P26" s="13"/>
      <c r="Q26" s="13"/>
      <c r="R26" s="13"/>
      <c r="S26" s="13"/>
      <c r="T26" s="15"/>
      <c r="U26" s="15"/>
      <c r="V26" s="15"/>
      <c r="W26" s="15"/>
      <c r="X26" s="15"/>
      <c r="Y26" s="15"/>
      <c r="Z26" s="15"/>
    </row>
    <row r="27" ht="24.75" customHeight="1">
      <c r="A27" s="19">
        <v>19.0</v>
      </c>
      <c r="B27" s="20" t="s">
        <v>54</v>
      </c>
      <c r="C27" s="13">
        <v>800.0</v>
      </c>
      <c r="D27" s="20" t="s">
        <v>33</v>
      </c>
      <c r="E27" s="19" t="s">
        <v>17</v>
      </c>
      <c r="F27" s="19">
        <v>10000.0</v>
      </c>
      <c r="G27" s="21" t="s">
        <v>55</v>
      </c>
      <c r="H27" s="20"/>
      <c r="I27" s="13" t="s">
        <v>50</v>
      </c>
      <c r="J27" s="13" t="s">
        <v>51</v>
      </c>
      <c r="K27" s="20"/>
      <c r="L27" s="20"/>
      <c r="M27" s="20"/>
      <c r="N27" s="20"/>
      <c r="O27" s="20"/>
      <c r="P27" s="20"/>
      <c r="Q27" s="20"/>
      <c r="R27" s="20"/>
      <c r="S27" s="20"/>
      <c r="T27" s="22"/>
      <c r="U27" s="22"/>
      <c r="V27" s="22"/>
      <c r="W27" s="22"/>
      <c r="X27" s="22"/>
      <c r="Y27" s="22"/>
      <c r="Z27" s="22"/>
    </row>
    <row r="28" ht="24.75" customHeight="1">
      <c r="A28" s="19"/>
      <c r="B28" s="20" t="s">
        <v>56</v>
      </c>
      <c r="C28" s="13">
        <v>1500.0</v>
      </c>
      <c r="D28" s="20"/>
      <c r="E28" s="19"/>
      <c r="F28" s="19"/>
      <c r="G28" s="21"/>
      <c r="H28" s="20"/>
      <c r="I28" s="13" t="s">
        <v>50</v>
      </c>
      <c r="J28" s="13" t="s">
        <v>51</v>
      </c>
      <c r="K28" s="20"/>
      <c r="L28" s="20"/>
      <c r="M28" s="20"/>
      <c r="N28" s="20"/>
      <c r="O28" s="20"/>
      <c r="P28" s="20"/>
      <c r="Q28" s="20"/>
      <c r="R28" s="20"/>
      <c r="S28" s="20"/>
      <c r="T28" s="22"/>
      <c r="U28" s="22"/>
      <c r="V28" s="22"/>
      <c r="W28" s="22"/>
      <c r="X28" s="22"/>
      <c r="Y28" s="22"/>
      <c r="Z28" s="22"/>
    </row>
    <row r="29" ht="24.75" customHeight="1">
      <c r="A29" s="19"/>
      <c r="B29" s="20" t="s">
        <v>57</v>
      </c>
      <c r="C29" s="13">
        <v>2500.0</v>
      </c>
      <c r="D29" s="20"/>
      <c r="E29" s="19"/>
      <c r="F29" s="19"/>
      <c r="G29" s="21"/>
      <c r="H29" s="20"/>
      <c r="I29" s="13" t="s">
        <v>50</v>
      </c>
      <c r="J29" s="13" t="s">
        <v>51</v>
      </c>
      <c r="K29" s="20"/>
      <c r="L29" s="20"/>
      <c r="M29" s="20"/>
      <c r="N29" s="20"/>
      <c r="O29" s="20"/>
      <c r="P29" s="20"/>
      <c r="Q29" s="20"/>
      <c r="R29" s="20"/>
      <c r="S29" s="20"/>
      <c r="T29" s="22"/>
      <c r="U29" s="22"/>
      <c r="V29" s="22"/>
      <c r="W29" s="22"/>
      <c r="X29" s="22"/>
      <c r="Y29" s="22"/>
      <c r="Z29" s="22"/>
    </row>
    <row r="30" ht="24.75" customHeight="1">
      <c r="A30" s="19">
        <v>20.0</v>
      </c>
      <c r="B30" s="20" t="s">
        <v>58</v>
      </c>
      <c r="C30" s="20">
        <v>1500.0</v>
      </c>
      <c r="D30" s="20" t="s">
        <v>59</v>
      </c>
      <c r="E30" s="19" t="s">
        <v>17</v>
      </c>
      <c r="F30" s="19">
        <v>2000.0</v>
      </c>
      <c r="G30" s="21" t="s">
        <v>21</v>
      </c>
      <c r="H30" s="20"/>
      <c r="I30" s="20"/>
      <c r="J30" s="20"/>
      <c r="K30" s="20"/>
      <c r="L30" s="20"/>
      <c r="M30" s="20"/>
      <c r="N30" s="20"/>
      <c r="O30" s="20"/>
      <c r="P30" s="20"/>
      <c r="Q30" s="20"/>
      <c r="R30" s="20"/>
      <c r="S30" s="20"/>
      <c r="T30" s="22"/>
      <c r="U30" s="22"/>
      <c r="V30" s="22"/>
      <c r="W30" s="22"/>
      <c r="X30" s="22"/>
      <c r="Y30" s="22"/>
      <c r="Z30" s="22"/>
    </row>
    <row r="31" ht="24.75" customHeight="1">
      <c r="A31" s="12">
        <v>21.0</v>
      </c>
      <c r="B31" s="13" t="s">
        <v>60</v>
      </c>
      <c r="C31" s="13">
        <v>120.0</v>
      </c>
      <c r="D31" s="13" t="s">
        <v>16</v>
      </c>
      <c r="E31" s="12">
        <v>108.0</v>
      </c>
      <c r="F31" s="12">
        <v>500.0</v>
      </c>
      <c r="G31" s="14" t="s">
        <v>21</v>
      </c>
      <c r="H31" s="13"/>
      <c r="I31" s="13"/>
      <c r="J31" s="13"/>
      <c r="K31" s="13"/>
      <c r="L31" s="13"/>
      <c r="M31" s="13"/>
      <c r="N31" s="13"/>
      <c r="O31" s="13"/>
      <c r="P31" s="13"/>
      <c r="Q31" s="13"/>
      <c r="R31" s="13"/>
      <c r="S31" s="13"/>
      <c r="T31" s="15"/>
      <c r="U31" s="15"/>
      <c r="V31" s="15"/>
      <c r="W31" s="15"/>
      <c r="X31" s="15"/>
      <c r="Y31" s="15"/>
      <c r="Z31" s="15"/>
    </row>
    <row r="32" ht="24.75" customHeight="1">
      <c r="A32" s="12">
        <v>22.0</v>
      </c>
      <c r="B32" s="13" t="s">
        <v>61</v>
      </c>
      <c r="C32" s="13">
        <v>120.0</v>
      </c>
      <c r="D32" s="13" t="s">
        <v>16</v>
      </c>
      <c r="E32" s="12">
        <v>65.0</v>
      </c>
      <c r="F32" s="12">
        <v>500.0</v>
      </c>
      <c r="G32" s="14" t="s">
        <v>21</v>
      </c>
      <c r="H32" s="13"/>
      <c r="I32" s="13"/>
      <c r="J32" s="13"/>
      <c r="K32" s="13"/>
      <c r="L32" s="13"/>
      <c r="M32" s="13"/>
      <c r="N32" s="13"/>
      <c r="O32" s="13"/>
      <c r="P32" s="13"/>
      <c r="Q32" s="13"/>
      <c r="R32" s="13"/>
      <c r="S32" s="13"/>
      <c r="T32" s="15"/>
      <c r="U32" s="15"/>
      <c r="V32" s="15"/>
      <c r="W32" s="15"/>
      <c r="X32" s="15"/>
      <c r="Y32" s="15"/>
      <c r="Z32" s="15"/>
    </row>
    <row r="33" ht="24.75" customHeight="1">
      <c r="A33" s="12"/>
      <c r="B33" s="13"/>
      <c r="C33" s="13"/>
      <c r="D33" s="13"/>
      <c r="E33" s="12"/>
      <c r="F33" s="12"/>
      <c r="G33" s="14"/>
      <c r="H33" s="13"/>
      <c r="I33" s="13"/>
      <c r="J33" s="13"/>
      <c r="K33" s="13"/>
      <c r="L33" s="13"/>
      <c r="M33" s="13"/>
      <c r="N33" s="13"/>
      <c r="O33" s="13"/>
      <c r="P33" s="13"/>
      <c r="Q33" s="13"/>
      <c r="R33" s="13"/>
      <c r="S33" s="13"/>
      <c r="T33" s="15"/>
      <c r="U33" s="15"/>
      <c r="V33" s="15"/>
      <c r="W33" s="15"/>
      <c r="X33" s="15"/>
      <c r="Y33" s="15"/>
      <c r="Z33" s="15"/>
    </row>
    <row r="34" ht="24.75" customHeight="1">
      <c r="A34" s="6"/>
      <c r="B34" s="7" t="s">
        <v>62</v>
      </c>
      <c r="C34" s="7"/>
      <c r="D34" s="8"/>
      <c r="E34" s="6"/>
      <c r="F34" s="6"/>
      <c r="G34" s="9"/>
      <c r="H34" s="8"/>
      <c r="I34" s="8"/>
      <c r="J34" s="8"/>
      <c r="K34" s="8"/>
      <c r="L34" s="8"/>
      <c r="M34" s="8"/>
      <c r="N34" s="8"/>
      <c r="O34" s="8"/>
      <c r="P34" s="8"/>
      <c r="Q34" s="8"/>
      <c r="R34" s="8"/>
      <c r="S34" s="8"/>
      <c r="T34" s="10"/>
      <c r="U34" s="10"/>
      <c r="V34" s="10"/>
      <c r="W34" s="10"/>
      <c r="X34" s="10"/>
      <c r="Y34" s="10"/>
      <c r="Z34" s="10"/>
      <c r="AA34" s="11"/>
    </row>
    <row r="35" ht="24.75" customHeight="1">
      <c r="A35" s="23">
        <v>23.0</v>
      </c>
      <c r="B35" s="13" t="s">
        <v>63</v>
      </c>
      <c r="C35" s="13">
        <v>1000.0</v>
      </c>
      <c r="D35" s="13" t="s">
        <v>16</v>
      </c>
      <c r="E35" s="12" t="s">
        <v>64</v>
      </c>
      <c r="F35" s="12">
        <v>2000.0</v>
      </c>
      <c r="G35" s="14" t="s">
        <v>18</v>
      </c>
      <c r="H35" s="13"/>
      <c r="I35" s="24"/>
      <c r="J35" s="24"/>
      <c r="K35" s="24"/>
      <c r="L35" s="24"/>
      <c r="M35" s="24"/>
      <c r="N35" s="24"/>
      <c r="O35" s="24"/>
      <c r="P35" s="24"/>
      <c r="Q35" s="24"/>
      <c r="R35" s="24"/>
      <c r="S35" s="24"/>
      <c r="T35" s="25"/>
      <c r="U35" s="25"/>
      <c r="V35" s="25"/>
      <c r="W35" s="25"/>
      <c r="X35" s="25"/>
      <c r="Y35" s="25"/>
      <c r="Z35" s="25"/>
    </row>
    <row r="36" ht="24.75" customHeight="1">
      <c r="A36" s="23">
        <v>25.0</v>
      </c>
      <c r="B36" s="13" t="s">
        <v>65</v>
      </c>
      <c r="C36" s="13">
        <v>200.0</v>
      </c>
      <c r="D36" s="13" t="s">
        <v>16</v>
      </c>
      <c r="E36" s="12" t="s">
        <v>17</v>
      </c>
      <c r="F36" s="12">
        <v>1500.0</v>
      </c>
      <c r="G36" s="14" t="s">
        <v>66</v>
      </c>
      <c r="H36" s="13"/>
      <c r="I36" s="13"/>
      <c r="J36" s="13"/>
      <c r="K36" s="13"/>
      <c r="L36" s="13"/>
      <c r="M36" s="13"/>
      <c r="N36" s="13"/>
      <c r="O36" s="13"/>
      <c r="P36" s="13"/>
      <c r="Q36" s="13"/>
      <c r="R36" s="13"/>
      <c r="S36" s="13"/>
      <c r="T36" s="15"/>
      <c r="U36" s="15"/>
      <c r="V36" s="15"/>
      <c r="W36" s="15"/>
      <c r="X36" s="15"/>
      <c r="Y36" s="15"/>
      <c r="Z36" s="15"/>
    </row>
    <row r="37" ht="24.75" customHeight="1">
      <c r="A37" s="23">
        <v>26.0</v>
      </c>
      <c r="B37" s="26" t="s">
        <v>67</v>
      </c>
      <c r="C37" s="13"/>
      <c r="D37" s="13" t="s">
        <v>16</v>
      </c>
      <c r="E37" s="12" t="s">
        <v>17</v>
      </c>
      <c r="F37" s="12">
        <v>3000.0</v>
      </c>
      <c r="G37" s="14" t="s">
        <v>66</v>
      </c>
      <c r="H37" s="13"/>
      <c r="I37" s="13"/>
      <c r="J37" s="13"/>
      <c r="K37" s="13"/>
      <c r="L37" s="13"/>
      <c r="M37" s="13"/>
      <c r="N37" s="13"/>
      <c r="O37" s="13"/>
      <c r="P37" s="13"/>
      <c r="Q37" s="13"/>
      <c r="R37" s="13"/>
      <c r="S37" s="13"/>
      <c r="T37" s="15"/>
      <c r="U37" s="15"/>
      <c r="V37" s="15"/>
      <c r="W37" s="15"/>
      <c r="X37" s="15"/>
      <c r="Y37" s="15"/>
      <c r="Z37" s="15"/>
    </row>
    <row r="38" ht="24.75" customHeight="1">
      <c r="A38" s="23">
        <v>27.0</v>
      </c>
      <c r="B38" s="13" t="s">
        <v>68</v>
      </c>
      <c r="C38" s="13">
        <v>4500.0</v>
      </c>
      <c r="D38" s="13" t="s">
        <v>16</v>
      </c>
      <c r="E38" s="12" t="s">
        <v>64</v>
      </c>
      <c r="F38" s="12">
        <v>3000.0</v>
      </c>
      <c r="G38" s="14" t="s">
        <v>69</v>
      </c>
      <c r="H38" s="13"/>
      <c r="I38" s="13"/>
      <c r="J38" s="13"/>
      <c r="K38" s="13"/>
      <c r="L38" s="13"/>
      <c r="M38" s="13"/>
      <c r="N38" s="13"/>
      <c r="O38" s="13"/>
      <c r="P38" s="13"/>
      <c r="Q38" s="13"/>
      <c r="R38" s="13"/>
      <c r="S38" s="13"/>
      <c r="T38" s="15"/>
      <c r="U38" s="15"/>
      <c r="V38" s="15"/>
      <c r="W38" s="15"/>
      <c r="X38" s="15"/>
      <c r="Y38" s="15"/>
      <c r="Z38" s="15"/>
    </row>
    <row r="39" ht="24.75" customHeight="1">
      <c r="A39" s="23">
        <v>28.0</v>
      </c>
      <c r="B39" s="13" t="s">
        <v>70</v>
      </c>
      <c r="C39" s="13">
        <v>4500.0</v>
      </c>
      <c r="D39" s="13" t="s">
        <v>16</v>
      </c>
      <c r="E39" s="12" t="s">
        <v>64</v>
      </c>
      <c r="F39" s="12">
        <v>3000.0</v>
      </c>
      <c r="G39" s="14" t="s">
        <v>69</v>
      </c>
      <c r="H39" s="13"/>
      <c r="I39" s="13"/>
      <c r="J39" s="13"/>
      <c r="K39" s="13"/>
      <c r="L39" s="13"/>
      <c r="M39" s="13"/>
      <c r="N39" s="13"/>
      <c r="O39" s="13"/>
      <c r="P39" s="13"/>
      <c r="Q39" s="13"/>
      <c r="R39" s="13"/>
      <c r="S39" s="13"/>
      <c r="T39" s="15"/>
      <c r="U39" s="15"/>
      <c r="V39" s="15"/>
      <c r="W39" s="15"/>
      <c r="X39" s="15"/>
      <c r="Y39" s="15"/>
      <c r="Z39" s="15"/>
    </row>
    <row r="40" ht="24.75" customHeight="1">
      <c r="A40" s="23">
        <v>29.0</v>
      </c>
      <c r="B40" s="20" t="s">
        <v>71</v>
      </c>
      <c r="C40" s="13">
        <v>4500.0</v>
      </c>
      <c r="D40" s="20" t="s">
        <v>16</v>
      </c>
      <c r="E40" s="19" t="s">
        <v>64</v>
      </c>
      <c r="F40" s="19">
        <v>3000.0</v>
      </c>
      <c r="G40" s="21" t="s">
        <v>69</v>
      </c>
      <c r="H40" s="20"/>
      <c r="I40" s="20"/>
      <c r="J40" s="20"/>
      <c r="K40" s="20"/>
      <c r="L40" s="20"/>
      <c r="M40" s="20"/>
      <c r="N40" s="20"/>
      <c r="O40" s="20"/>
      <c r="P40" s="20"/>
      <c r="Q40" s="20"/>
      <c r="R40" s="20"/>
      <c r="S40" s="20"/>
      <c r="T40" s="22"/>
      <c r="U40" s="22"/>
      <c r="V40" s="22"/>
      <c r="W40" s="22"/>
      <c r="X40" s="22"/>
      <c r="Y40" s="22"/>
      <c r="Z40" s="22"/>
    </row>
    <row r="41" ht="24.75" customHeight="1">
      <c r="A41" s="23">
        <v>30.0</v>
      </c>
      <c r="B41" s="13" t="s">
        <v>72</v>
      </c>
      <c r="C41" s="13">
        <v>4500.0</v>
      </c>
      <c r="D41" s="13" t="s">
        <v>16</v>
      </c>
      <c r="E41" s="12" t="s">
        <v>64</v>
      </c>
      <c r="F41" s="12">
        <v>3000.0</v>
      </c>
      <c r="G41" s="14" t="s">
        <v>69</v>
      </c>
      <c r="H41" s="13"/>
      <c r="I41" s="13"/>
      <c r="J41" s="13"/>
      <c r="K41" s="13"/>
      <c r="L41" s="13"/>
      <c r="M41" s="13"/>
      <c r="N41" s="13"/>
      <c r="O41" s="13"/>
      <c r="P41" s="13"/>
      <c r="Q41" s="13"/>
      <c r="R41" s="13"/>
      <c r="S41" s="13"/>
      <c r="T41" s="15"/>
      <c r="U41" s="15"/>
      <c r="V41" s="15"/>
      <c r="W41" s="15"/>
      <c r="X41" s="15"/>
      <c r="Y41" s="15"/>
      <c r="Z41" s="15"/>
    </row>
    <row r="42" ht="24.75" customHeight="1">
      <c r="A42" s="23">
        <v>31.0</v>
      </c>
      <c r="B42" s="13" t="s">
        <v>73</v>
      </c>
      <c r="C42" s="13">
        <v>200.0</v>
      </c>
      <c r="D42" s="13" t="s">
        <v>16</v>
      </c>
      <c r="E42" s="12" t="s">
        <v>17</v>
      </c>
      <c r="F42" s="12">
        <v>300.0</v>
      </c>
      <c r="G42" s="14" t="s">
        <v>27</v>
      </c>
      <c r="H42" s="13"/>
      <c r="I42" s="13"/>
      <c r="J42" s="13"/>
      <c r="K42" s="13"/>
      <c r="L42" s="13"/>
      <c r="M42" s="13"/>
      <c r="N42" s="13"/>
      <c r="O42" s="13"/>
      <c r="P42" s="13"/>
      <c r="Q42" s="13"/>
      <c r="R42" s="13"/>
      <c r="S42" s="13"/>
      <c r="T42" s="15"/>
      <c r="U42" s="15"/>
      <c r="V42" s="15"/>
      <c r="W42" s="15"/>
      <c r="X42" s="15"/>
      <c r="Y42" s="15"/>
      <c r="Z42" s="15"/>
    </row>
    <row r="43" ht="24.75" customHeight="1">
      <c r="A43" s="23">
        <v>32.0</v>
      </c>
      <c r="B43" s="13" t="s">
        <v>74</v>
      </c>
      <c r="C43" s="13">
        <v>15000.0</v>
      </c>
      <c r="D43" s="13" t="s">
        <v>16</v>
      </c>
      <c r="E43" s="12" t="s">
        <v>64</v>
      </c>
      <c r="F43" s="12">
        <v>5000.0</v>
      </c>
      <c r="G43" s="14" t="s">
        <v>75</v>
      </c>
      <c r="H43" s="13"/>
      <c r="I43" s="13"/>
      <c r="J43" s="13"/>
      <c r="K43" s="13"/>
      <c r="L43" s="13"/>
      <c r="M43" s="13"/>
      <c r="N43" s="13"/>
      <c r="O43" s="13"/>
      <c r="P43" s="13"/>
      <c r="Q43" s="13"/>
      <c r="R43" s="13"/>
      <c r="S43" s="13"/>
      <c r="T43" s="15"/>
      <c r="U43" s="15"/>
      <c r="V43" s="15"/>
      <c r="W43" s="15"/>
      <c r="X43" s="15"/>
      <c r="Y43" s="15"/>
      <c r="Z43" s="15"/>
    </row>
    <row r="44" ht="24.75" customHeight="1">
      <c r="A44" s="23"/>
      <c r="B44" s="15" t="s">
        <v>76</v>
      </c>
      <c r="C44" s="13">
        <v>15000.0</v>
      </c>
      <c r="D44" s="13"/>
      <c r="E44" s="12"/>
      <c r="F44" s="12"/>
      <c r="G44" s="14"/>
      <c r="H44" s="13"/>
      <c r="I44" s="13"/>
      <c r="J44" s="13"/>
      <c r="K44" s="13"/>
      <c r="L44" s="13"/>
      <c r="M44" s="13"/>
      <c r="N44" s="13"/>
      <c r="O44" s="13"/>
      <c r="P44" s="13"/>
      <c r="Q44" s="13"/>
      <c r="R44" s="13"/>
      <c r="S44" s="13"/>
      <c r="T44" s="15"/>
      <c r="U44" s="15"/>
      <c r="V44" s="15"/>
      <c r="W44" s="15"/>
      <c r="X44" s="15"/>
      <c r="Y44" s="15"/>
      <c r="Z44" s="15"/>
    </row>
    <row r="45" ht="24.75" customHeight="1">
      <c r="A45" s="23"/>
      <c r="B45" s="15" t="s">
        <v>77</v>
      </c>
      <c r="C45" s="13">
        <v>15000.0</v>
      </c>
      <c r="D45" s="13"/>
      <c r="E45" s="12"/>
      <c r="F45" s="12"/>
      <c r="G45" s="14"/>
      <c r="H45" s="13"/>
      <c r="I45" s="13"/>
      <c r="J45" s="13"/>
      <c r="K45" s="13"/>
      <c r="L45" s="13"/>
      <c r="M45" s="13"/>
      <c r="N45" s="13"/>
      <c r="O45" s="13"/>
      <c r="P45" s="13"/>
      <c r="Q45" s="13"/>
      <c r="R45" s="13"/>
      <c r="S45" s="13"/>
      <c r="T45" s="15"/>
      <c r="U45" s="15"/>
      <c r="V45" s="15"/>
      <c r="W45" s="15"/>
      <c r="X45" s="15"/>
      <c r="Y45" s="15"/>
      <c r="Z45" s="15"/>
    </row>
    <row r="46" ht="24.75" customHeight="1">
      <c r="A46" s="23"/>
      <c r="B46" s="15" t="s">
        <v>78</v>
      </c>
      <c r="C46" s="13">
        <v>15000.0</v>
      </c>
      <c r="D46" s="13"/>
      <c r="E46" s="12"/>
      <c r="F46" s="12"/>
      <c r="G46" s="14"/>
      <c r="H46" s="13"/>
      <c r="I46" s="13"/>
      <c r="J46" s="13"/>
      <c r="K46" s="13"/>
      <c r="L46" s="13"/>
      <c r="M46" s="13"/>
      <c r="N46" s="13"/>
      <c r="O46" s="13"/>
      <c r="P46" s="13"/>
      <c r="Q46" s="13"/>
      <c r="R46" s="13"/>
      <c r="S46" s="13"/>
      <c r="T46" s="15"/>
      <c r="U46" s="15"/>
      <c r="V46" s="15"/>
      <c r="W46" s="15"/>
      <c r="X46" s="15"/>
      <c r="Y46" s="15"/>
      <c r="Z46" s="15"/>
    </row>
    <row r="47" ht="24.75" customHeight="1">
      <c r="A47" s="23">
        <v>33.0</v>
      </c>
      <c r="B47" s="15" t="s">
        <v>79</v>
      </c>
      <c r="C47" s="15">
        <v>4000.0</v>
      </c>
      <c r="D47" s="13" t="s">
        <v>16</v>
      </c>
      <c r="E47" s="12" t="s">
        <v>64</v>
      </c>
      <c r="F47" s="12">
        <v>3000.0</v>
      </c>
      <c r="G47" s="14" t="s">
        <v>75</v>
      </c>
      <c r="H47" s="13"/>
      <c r="I47" s="13"/>
      <c r="J47" s="13"/>
      <c r="K47" s="13"/>
      <c r="L47" s="13"/>
      <c r="M47" s="13"/>
      <c r="N47" s="13"/>
      <c r="O47" s="13"/>
      <c r="P47" s="13"/>
      <c r="Q47" s="13"/>
      <c r="R47" s="13"/>
      <c r="S47" s="13"/>
      <c r="T47" s="15"/>
      <c r="U47" s="15"/>
      <c r="V47" s="15"/>
      <c r="W47" s="15"/>
      <c r="X47" s="15"/>
      <c r="Y47" s="15"/>
      <c r="Z47" s="15"/>
    </row>
    <row r="48" ht="24.75" customHeight="1">
      <c r="A48" s="23">
        <v>34.0</v>
      </c>
      <c r="B48" s="27" t="s">
        <v>80</v>
      </c>
      <c r="C48" s="15">
        <v>1500.0</v>
      </c>
      <c r="D48" s="13" t="s">
        <v>16</v>
      </c>
      <c r="E48" s="12" t="s">
        <v>17</v>
      </c>
      <c r="F48" s="12">
        <v>2000.0</v>
      </c>
      <c r="G48" s="14" t="s">
        <v>81</v>
      </c>
      <c r="H48" s="13"/>
      <c r="I48" s="13"/>
      <c r="J48" s="13"/>
      <c r="K48" s="13"/>
      <c r="L48" s="13"/>
      <c r="M48" s="13"/>
      <c r="N48" s="13"/>
      <c r="O48" s="13"/>
      <c r="P48" s="13"/>
      <c r="Q48" s="13"/>
      <c r="R48" s="13"/>
      <c r="S48" s="13"/>
      <c r="T48" s="15"/>
      <c r="U48" s="15"/>
      <c r="V48" s="15"/>
      <c r="W48" s="15"/>
      <c r="X48" s="15"/>
      <c r="Y48" s="15"/>
      <c r="Z48" s="15"/>
    </row>
    <row r="49" ht="24.75" customHeight="1">
      <c r="A49" s="23">
        <v>35.0</v>
      </c>
      <c r="B49" s="27" t="s">
        <v>82</v>
      </c>
      <c r="C49" s="15">
        <v>1500.0</v>
      </c>
      <c r="D49" s="13" t="s">
        <v>16</v>
      </c>
      <c r="E49" s="12" t="s">
        <v>17</v>
      </c>
      <c r="F49" s="12">
        <v>2000.0</v>
      </c>
      <c r="G49" s="14" t="s">
        <v>81</v>
      </c>
      <c r="H49" s="13"/>
      <c r="I49" s="13"/>
      <c r="J49" s="13"/>
      <c r="K49" s="13"/>
      <c r="L49" s="13"/>
      <c r="M49" s="13"/>
      <c r="N49" s="13"/>
      <c r="O49" s="13"/>
      <c r="P49" s="13"/>
      <c r="Q49" s="13"/>
      <c r="R49" s="13"/>
      <c r="S49" s="13"/>
      <c r="T49" s="15"/>
      <c r="U49" s="15"/>
      <c r="V49" s="15"/>
      <c r="W49" s="15"/>
      <c r="X49" s="15"/>
      <c r="Y49" s="15"/>
      <c r="Z49" s="15"/>
    </row>
    <row r="50" ht="24.75" customHeight="1">
      <c r="A50" s="23">
        <v>36.0</v>
      </c>
      <c r="B50" s="13" t="s">
        <v>83</v>
      </c>
      <c r="C50" s="13">
        <v>800.0</v>
      </c>
      <c r="D50" s="13" t="s">
        <v>16</v>
      </c>
      <c r="E50" s="12" t="s">
        <v>17</v>
      </c>
      <c r="F50" s="12">
        <v>1000.0</v>
      </c>
      <c r="G50" s="14" t="s">
        <v>27</v>
      </c>
      <c r="H50" s="13"/>
      <c r="I50" s="13"/>
      <c r="J50" s="13"/>
      <c r="K50" s="13"/>
      <c r="L50" s="13"/>
      <c r="M50" s="13"/>
      <c r="N50" s="13"/>
      <c r="O50" s="13"/>
      <c r="P50" s="13"/>
      <c r="Q50" s="13"/>
      <c r="R50" s="13"/>
      <c r="S50" s="13"/>
      <c r="T50" s="15"/>
      <c r="U50" s="15"/>
      <c r="V50" s="15"/>
      <c r="W50" s="15"/>
      <c r="X50" s="15"/>
      <c r="Y50" s="15"/>
      <c r="Z50" s="15"/>
    </row>
    <row r="51" ht="24.75" customHeight="1">
      <c r="A51" s="23">
        <v>37.0</v>
      </c>
      <c r="B51" s="20" t="s">
        <v>84</v>
      </c>
      <c r="C51" s="20">
        <v>1500.0</v>
      </c>
      <c r="D51" s="20" t="s">
        <v>16</v>
      </c>
      <c r="E51" s="19" t="s">
        <v>17</v>
      </c>
      <c r="F51" s="19">
        <v>2000.0</v>
      </c>
      <c r="G51" s="21" t="s">
        <v>27</v>
      </c>
      <c r="H51" s="20"/>
      <c r="I51" s="20"/>
      <c r="J51" s="20"/>
      <c r="K51" s="20"/>
      <c r="L51" s="20"/>
      <c r="M51" s="20"/>
      <c r="N51" s="20"/>
      <c r="O51" s="20"/>
      <c r="P51" s="20"/>
      <c r="Q51" s="20"/>
      <c r="R51" s="20"/>
      <c r="S51" s="20"/>
      <c r="T51" s="22"/>
      <c r="U51" s="22"/>
      <c r="V51" s="22"/>
      <c r="W51" s="22"/>
      <c r="X51" s="22"/>
      <c r="Y51" s="22"/>
      <c r="Z51" s="22"/>
    </row>
    <row r="52" ht="24.75" customHeight="1">
      <c r="A52" s="12"/>
      <c r="B52" s="13"/>
      <c r="C52" s="13"/>
      <c r="D52" s="13"/>
      <c r="E52" s="12"/>
      <c r="F52" s="12"/>
      <c r="G52" s="14"/>
      <c r="H52" s="13"/>
      <c r="I52" s="13"/>
      <c r="J52" s="13"/>
      <c r="K52" s="13"/>
      <c r="L52" s="13"/>
      <c r="M52" s="13"/>
      <c r="N52" s="13"/>
      <c r="O52" s="13"/>
      <c r="P52" s="13"/>
      <c r="Q52" s="13"/>
      <c r="R52" s="13"/>
      <c r="S52" s="13"/>
      <c r="T52" s="15"/>
      <c r="U52" s="15"/>
      <c r="V52" s="15"/>
      <c r="W52" s="15"/>
      <c r="X52" s="15"/>
      <c r="Y52" s="15"/>
      <c r="Z52" s="15"/>
    </row>
    <row r="53" ht="24.75" customHeight="1">
      <c r="A53" s="6"/>
      <c r="B53" s="7" t="s">
        <v>85</v>
      </c>
      <c r="C53" s="8"/>
      <c r="D53" s="8"/>
      <c r="E53" s="6"/>
      <c r="F53" s="6"/>
      <c r="G53" s="9"/>
      <c r="H53" s="8"/>
      <c r="I53" s="8"/>
      <c r="J53" s="8"/>
      <c r="K53" s="8"/>
      <c r="L53" s="8"/>
      <c r="M53" s="8"/>
      <c r="N53" s="8"/>
      <c r="O53" s="8"/>
      <c r="P53" s="8"/>
      <c r="Q53" s="8"/>
      <c r="R53" s="8"/>
      <c r="S53" s="8"/>
      <c r="T53" s="10"/>
      <c r="U53" s="10"/>
      <c r="V53" s="10"/>
      <c r="W53" s="10"/>
      <c r="X53" s="10"/>
      <c r="Y53" s="10"/>
      <c r="Z53" s="10"/>
      <c r="AA53" s="28"/>
    </row>
    <row r="54" ht="24.75" customHeight="1">
      <c r="A54" s="12">
        <v>38.0</v>
      </c>
      <c r="B54" s="13" t="s">
        <v>86</v>
      </c>
      <c r="C54" s="13" t="s">
        <v>87</v>
      </c>
      <c r="D54" s="13" t="s">
        <v>88</v>
      </c>
      <c r="E54" s="12">
        <v>525.0</v>
      </c>
      <c r="F54" s="12" t="s">
        <v>89</v>
      </c>
      <c r="G54" s="14" t="s">
        <v>21</v>
      </c>
      <c r="H54" s="13"/>
      <c r="I54" s="13"/>
      <c r="J54" s="13"/>
      <c r="K54" s="13"/>
      <c r="L54" s="13"/>
      <c r="M54" s="13"/>
      <c r="N54" s="13"/>
      <c r="O54" s="13"/>
      <c r="P54" s="13"/>
      <c r="Q54" s="13"/>
      <c r="R54" s="13"/>
      <c r="S54" s="13"/>
      <c r="T54" s="15"/>
      <c r="U54" s="15"/>
      <c r="V54" s="15"/>
      <c r="W54" s="15"/>
      <c r="X54" s="15"/>
      <c r="Y54" s="15"/>
      <c r="Z54" s="15"/>
    </row>
    <row r="55" ht="24.75" customHeight="1">
      <c r="A55" s="12">
        <v>39.0</v>
      </c>
      <c r="B55" s="29" t="s">
        <v>90</v>
      </c>
      <c r="C55" s="29" t="s">
        <v>91</v>
      </c>
      <c r="D55" s="13" t="s">
        <v>88</v>
      </c>
      <c r="E55" s="12">
        <v>765.0</v>
      </c>
      <c r="F55" s="12" t="s">
        <v>92</v>
      </c>
      <c r="G55" s="14" t="s">
        <v>21</v>
      </c>
      <c r="H55" s="13"/>
      <c r="I55" s="13"/>
      <c r="J55" s="13"/>
      <c r="K55" s="13"/>
      <c r="L55" s="13"/>
      <c r="M55" s="13"/>
      <c r="N55" s="13"/>
      <c r="O55" s="13"/>
      <c r="P55" s="13"/>
      <c r="Q55" s="13"/>
      <c r="R55" s="13"/>
      <c r="S55" s="13"/>
      <c r="T55" s="15"/>
      <c r="U55" s="15"/>
      <c r="V55" s="15"/>
      <c r="W55" s="15"/>
      <c r="X55" s="15"/>
      <c r="Y55" s="15"/>
      <c r="Z55" s="15"/>
    </row>
    <row r="56" ht="24.75" customHeight="1">
      <c r="A56" s="12"/>
      <c r="B56" s="29" t="s">
        <v>93</v>
      </c>
      <c r="C56" s="29" t="s">
        <v>91</v>
      </c>
      <c r="D56" s="13" t="s">
        <v>88</v>
      </c>
      <c r="E56" s="12">
        <v>765.0</v>
      </c>
      <c r="F56" s="12" t="s">
        <v>92</v>
      </c>
      <c r="G56" s="14"/>
      <c r="H56" s="13"/>
      <c r="I56" s="13"/>
      <c r="J56" s="13"/>
      <c r="K56" s="13"/>
      <c r="L56" s="13"/>
      <c r="M56" s="13"/>
      <c r="N56" s="13"/>
      <c r="O56" s="13"/>
      <c r="P56" s="13"/>
      <c r="Q56" s="13"/>
      <c r="R56" s="13"/>
      <c r="S56" s="13"/>
      <c r="T56" s="15"/>
      <c r="U56" s="15"/>
      <c r="V56" s="15"/>
      <c r="W56" s="15"/>
      <c r="X56" s="15"/>
      <c r="Y56" s="15"/>
      <c r="Z56" s="15"/>
    </row>
    <row r="57" ht="24.75" customHeight="1">
      <c r="A57" s="12">
        <v>40.0</v>
      </c>
      <c r="B57" s="13" t="s">
        <v>94</v>
      </c>
      <c r="C57" s="13">
        <v>5600.0</v>
      </c>
      <c r="D57" s="13" t="s">
        <v>95</v>
      </c>
      <c r="E57" s="12">
        <v>4500.0</v>
      </c>
      <c r="F57" s="12">
        <v>1100.0</v>
      </c>
      <c r="G57" s="14" t="s">
        <v>96</v>
      </c>
      <c r="H57" s="13"/>
      <c r="I57" s="13"/>
      <c r="J57" s="13"/>
      <c r="K57" s="13"/>
      <c r="L57" s="13"/>
      <c r="M57" s="13"/>
      <c r="N57" s="13"/>
      <c r="O57" s="13"/>
      <c r="P57" s="13"/>
      <c r="Q57" s="13"/>
      <c r="R57" s="13"/>
      <c r="S57" s="13"/>
      <c r="T57" s="15"/>
      <c r="U57" s="15"/>
      <c r="V57" s="15"/>
      <c r="W57" s="15"/>
      <c r="X57" s="15"/>
      <c r="Y57" s="15"/>
      <c r="Z57" s="15"/>
    </row>
    <row r="58" ht="24.75" customHeight="1">
      <c r="A58" s="12">
        <v>41.0</v>
      </c>
      <c r="B58" s="13" t="s">
        <v>97</v>
      </c>
      <c r="C58" s="13">
        <v>400.0</v>
      </c>
      <c r="D58" s="13" t="s">
        <v>98</v>
      </c>
      <c r="E58" s="12">
        <v>100.0</v>
      </c>
      <c r="F58" s="12">
        <v>1000.0</v>
      </c>
      <c r="G58" s="14" t="s">
        <v>99</v>
      </c>
      <c r="H58" s="13"/>
      <c r="I58" s="13"/>
      <c r="J58" s="13"/>
      <c r="K58" s="13"/>
      <c r="L58" s="13"/>
      <c r="M58" s="13"/>
      <c r="N58" s="13"/>
      <c r="O58" s="13"/>
      <c r="P58" s="13"/>
      <c r="Q58" s="13"/>
      <c r="R58" s="13"/>
      <c r="S58" s="13"/>
      <c r="T58" s="15"/>
      <c r="U58" s="15"/>
      <c r="V58" s="15"/>
      <c r="W58" s="15"/>
      <c r="X58" s="15"/>
      <c r="Y58" s="15"/>
      <c r="Z58" s="15"/>
    </row>
    <row r="59" ht="24.75" customHeight="1">
      <c r="A59" s="12">
        <v>42.0</v>
      </c>
      <c r="B59" s="13" t="s">
        <v>100</v>
      </c>
      <c r="C59" s="13" t="s">
        <v>101</v>
      </c>
      <c r="D59" s="13" t="s">
        <v>98</v>
      </c>
      <c r="E59" s="12" t="s">
        <v>102</v>
      </c>
      <c r="F59" s="12">
        <v>2000.0</v>
      </c>
      <c r="G59" s="14" t="s">
        <v>75</v>
      </c>
      <c r="H59" s="13"/>
      <c r="I59" s="13"/>
      <c r="J59" s="13"/>
      <c r="K59" s="13"/>
      <c r="L59" s="13"/>
      <c r="M59" s="13"/>
      <c r="N59" s="13"/>
      <c r="O59" s="13"/>
      <c r="P59" s="13"/>
      <c r="Q59" s="13"/>
      <c r="R59" s="13"/>
      <c r="S59" s="13"/>
      <c r="T59" s="15"/>
      <c r="U59" s="15"/>
      <c r="V59" s="15"/>
      <c r="W59" s="15"/>
      <c r="X59" s="15"/>
      <c r="Y59" s="15"/>
      <c r="Z59" s="15"/>
    </row>
    <row r="60" ht="24.75" customHeight="1">
      <c r="A60" s="12">
        <v>43.0</v>
      </c>
      <c r="B60" s="13" t="s">
        <v>103</v>
      </c>
      <c r="C60" s="13" t="s">
        <v>101</v>
      </c>
      <c r="D60" s="13" t="s">
        <v>98</v>
      </c>
      <c r="E60" s="12">
        <v>7500.0</v>
      </c>
      <c r="F60" s="12">
        <v>2000.0</v>
      </c>
      <c r="G60" s="14" t="s">
        <v>104</v>
      </c>
      <c r="H60" s="13"/>
      <c r="I60" s="13"/>
      <c r="J60" s="13"/>
      <c r="K60" s="13"/>
      <c r="L60" s="13"/>
      <c r="M60" s="13"/>
      <c r="N60" s="13"/>
      <c r="O60" s="13"/>
      <c r="P60" s="13"/>
      <c r="Q60" s="13"/>
      <c r="R60" s="13"/>
      <c r="S60" s="13"/>
      <c r="T60" s="15"/>
      <c r="U60" s="15"/>
      <c r="V60" s="15"/>
      <c r="W60" s="15"/>
      <c r="X60" s="15"/>
      <c r="Y60" s="15"/>
      <c r="Z60" s="15"/>
    </row>
    <row r="61" ht="24.75" customHeight="1">
      <c r="A61" s="12">
        <v>44.0</v>
      </c>
      <c r="B61" s="13" t="s">
        <v>105</v>
      </c>
      <c r="C61" s="13">
        <v>500.0</v>
      </c>
      <c r="D61" s="13" t="s">
        <v>98</v>
      </c>
      <c r="E61" s="12" t="s">
        <v>106</v>
      </c>
      <c r="F61" s="12">
        <v>1000.0</v>
      </c>
      <c r="G61" s="14" t="s">
        <v>107</v>
      </c>
      <c r="H61" s="13"/>
      <c r="I61" s="13"/>
      <c r="J61" s="13"/>
      <c r="K61" s="13"/>
      <c r="L61" s="13"/>
      <c r="M61" s="13"/>
      <c r="N61" s="13"/>
      <c r="O61" s="13"/>
      <c r="P61" s="13"/>
      <c r="Q61" s="13"/>
      <c r="R61" s="13"/>
      <c r="S61" s="13"/>
      <c r="T61" s="15"/>
      <c r="U61" s="15"/>
      <c r="V61" s="15"/>
      <c r="W61" s="15"/>
      <c r="X61" s="15"/>
      <c r="Y61" s="15"/>
      <c r="Z61" s="15"/>
    </row>
    <row r="62" ht="24.75" customHeight="1">
      <c r="A62" s="12">
        <v>45.0</v>
      </c>
      <c r="B62" s="13" t="s">
        <v>108</v>
      </c>
      <c r="C62" s="13">
        <v>800.0</v>
      </c>
      <c r="D62" s="13" t="s">
        <v>16</v>
      </c>
      <c r="E62" s="12">
        <v>500.0</v>
      </c>
      <c r="F62" s="12">
        <v>1000.0</v>
      </c>
      <c r="G62" s="14" t="s">
        <v>109</v>
      </c>
      <c r="H62" s="13"/>
      <c r="I62" s="13"/>
      <c r="J62" s="13"/>
      <c r="K62" s="13"/>
      <c r="L62" s="13"/>
      <c r="M62" s="13"/>
      <c r="N62" s="13"/>
      <c r="O62" s="13"/>
      <c r="P62" s="13"/>
      <c r="Q62" s="13"/>
      <c r="R62" s="13"/>
      <c r="S62" s="13"/>
      <c r="T62" s="15"/>
      <c r="U62" s="15"/>
      <c r="V62" s="15"/>
      <c r="W62" s="15"/>
      <c r="X62" s="15"/>
      <c r="Y62" s="15"/>
      <c r="Z62" s="15"/>
    </row>
    <row r="63" ht="24.75" customHeight="1">
      <c r="A63" s="12">
        <v>46.0</v>
      </c>
      <c r="B63" s="20" t="s">
        <v>110</v>
      </c>
      <c r="C63" s="20">
        <v>800.0</v>
      </c>
      <c r="D63" s="20" t="s">
        <v>16</v>
      </c>
      <c r="E63" s="19" t="s">
        <v>17</v>
      </c>
      <c r="F63" s="19">
        <v>2000.0</v>
      </c>
      <c r="G63" s="21" t="s">
        <v>109</v>
      </c>
      <c r="H63" s="20"/>
      <c r="I63" s="20"/>
      <c r="J63" s="20"/>
      <c r="K63" s="20"/>
      <c r="L63" s="20"/>
      <c r="M63" s="20"/>
      <c r="N63" s="20"/>
      <c r="O63" s="20"/>
      <c r="P63" s="20"/>
      <c r="Q63" s="20"/>
      <c r="R63" s="20"/>
      <c r="S63" s="20"/>
      <c r="T63" s="22"/>
      <c r="U63" s="22"/>
      <c r="V63" s="22"/>
      <c r="W63" s="22"/>
      <c r="X63" s="22"/>
      <c r="Y63" s="22"/>
      <c r="Z63" s="22"/>
    </row>
    <row r="64" ht="24.75" customHeight="1">
      <c r="A64" s="12">
        <v>47.0</v>
      </c>
      <c r="B64" s="20" t="s">
        <v>111</v>
      </c>
      <c r="C64" s="20">
        <v>400.0</v>
      </c>
      <c r="D64" s="20" t="s">
        <v>20</v>
      </c>
      <c r="E64" s="19">
        <v>75.0</v>
      </c>
      <c r="F64" s="19">
        <v>500.0</v>
      </c>
      <c r="G64" s="21" t="s">
        <v>21</v>
      </c>
      <c r="H64" s="20"/>
      <c r="I64" s="20"/>
      <c r="J64" s="20"/>
      <c r="K64" s="20"/>
      <c r="L64" s="20"/>
      <c r="M64" s="20"/>
      <c r="N64" s="20"/>
      <c r="O64" s="20"/>
      <c r="P64" s="20"/>
      <c r="Q64" s="20"/>
      <c r="R64" s="20"/>
      <c r="S64" s="20"/>
      <c r="T64" s="22"/>
      <c r="U64" s="22"/>
      <c r="V64" s="22"/>
      <c r="W64" s="22"/>
      <c r="X64" s="22"/>
      <c r="Y64" s="22"/>
      <c r="Z64" s="22"/>
    </row>
    <row r="65" ht="24.75" customHeight="1">
      <c r="A65" s="12"/>
      <c r="B65" s="20" t="s">
        <v>112</v>
      </c>
      <c r="C65" s="20">
        <v>1000.0</v>
      </c>
      <c r="D65" s="20" t="s">
        <v>20</v>
      </c>
      <c r="E65" s="19">
        <v>500.0</v>
      </c>
      <c r="F65" s="19"/>
      <c r="G65" s="21"/>
      <c r="H65" s="20"/>
      <c r="I65" s="20"/>
      <c r="J65" s="20"/>
      <c r="K65" s="20"/>
      <c r="L65" s="20"/>
      <c r="M65" s="20"/>
      <c r="N65" s="20"/>
      <c r="O65" s="20"/>
      <c r="P65" s="20"/>
      <c r="Q65" s="20"/>
      <c r="R65" s="20"/>
      <c r="S65" s="20"/>
      <c r="T65" s="22"/>
      <c r="U65" s="22"/>
      <c r="V65" s="22"/>
      <c r="W65" s="22"/>
      <c r="X65" s="22"/>
      <c r="Y65" s="22"/>
      <c r="Z65" s="22"/>
    </row>
    <row r="66" ht="24.75" customHeight="1">
      <c r="A66" s="12">
        <v>48.0</v>
      </c>
      <c r="B66" s="20" t="s">
        <v>113</v>
      </c>
      <c r="C66" s="20">
        <v>1500.0</v>
      </c>
      <c r="D66" s="20" t="s">
        <v>16</v>
      </c>
      <c r="E66" s="19"/>
      <c r="F66" s="19">
        <v>2000.0</v>
      </c>
      <c r="G66" s="21" t="s">
        <v>66</v>
      </c>
      <c r="H66" s="20"/>
      <c r="I66" s="20"/>
      <c r="J66" s="20"/>
      <c r="K66" s="20"/>
      <c r="L66" s="20"/>
      <c r="M66" s="20"/>
      <c r="N66" s="20"/>
      <c r="O66" s="20"/>
      <c r="P66" s="20"/>
      <c r="Q66" s="20"/>
      <c r="R66" s="20"/>
      <c r="S66" s="20"/>
      <c r="T66" s="22"/>
      <c r="U66" s="22"/>
      <c r="V66" s="22"/>
      <c r="W66" s="22"/>
      <c r="X66" s="22"/>
      <c r="Y66" s="22"/>
      <c r="Z66" s="22"/>
    </row>
    <row r="67" ht="24.75" customHeight="1">
      <c r="A67" s="12">
        <v>49.0</v>
      </c>
      <c r="B67" s="20" t="s">
        <v>114</v>
      </c>
      <c r="C67" s="20">
        <v>300.0</v>
      </c>
      <c r="D67" s="20" t="s">
        <v>16</v>
      </c>
      <c r="E67" s="19"/>
      <c r="F67" s="19">
        <v>500.0</v>
      </c>
      <c r="G67" s="21" t="s">
        <v>21</v>
      </c>
      <c r="H67" s="20"/>
      <c r="I67" s="20"/>
      <c r="J67" s="20"/>
      <c r="K67" s="20"/>
      <c r="L67" s="20"/>
      <c r="M67" s="20"/>
      <c r="N67" s="20"/>
      <c r="O67" s="20"/>
      <c r="P67" s="20"/>
      <c r="Q67" s="20"/>
      <c r="R67" s="20"/>
      <c r="S67" s="20"/>
      <c r="T67" s="22"/>
      <c r="U67" s="22"/>
      <c r="V67" s="22"/>
      <c r="W67" s="22"/>
      <c r="X67" s="22"/>
      <c r="Y67" s="22"/>
      <c r="Z67" s="22"/>
    </row>
    <row r="68" ht="24.75" customHeight="1">
      <c r="A68" s="12">
        <v>50.0</v>
      </c>
      <c r="B68" s="20" t="s">
        <v>115</v>
      </c>
      <c r="C68" s="20">
        <v>1000.0</v>
      </c>
      <c r="D68" s="20" t="s">
        <v>16</v>
      </c>
      <c r="E68" s="19">
        <v>500.0</v>
      </c>
      <c r="F68" s="19">
        <v>1000.0</v>
      </c>
      <c r="G68" s="21" t="s">
        <v>81</v>
      </c>
      <c r="H68" s="20"/>
      <c r="I68" s="20"/>
      <c r="J68" s="20"/>
      <c r="K68" s="20"/>
      <c r="L68" s="20"/>
      <c r="M68" s="20"/>
      <c r="N68" s="20"/>
      <c r="O68" s="20"/>
      <c r="P68" s="20"/>
      <c r="Q68" s="20"/>
      <c r="R68" s="20"/>
      <c r="S68" s="20"/>
      <c r="T68" s="22"/>
      <c r="U68" s="22"/>
      <c r="V68" s="22"/>
      <c r="W68" s="22"/>
      <c r="X68" s="22"/>
      <c r="Y68" s="22"/>
      <c r="Z68" s="22"/>
    </row>
    <row r="69" ht="24.75" customHeight="1">
      <c r="A69" s="12">
        <v>51.0</v>
      </c>
      <c r="B69" s="20" t="s">
        <v>116</v>
      </c>
      <c r="C69" s="20">
        <v>6000.0</v>
      </c>
      <c r="D69" s="20" t="s">
        <v>59</v>
      </c>
      <c r="E69" s="19" t="s">
        <v>17</v>
      </c>
      <c r="F69" s="19">
        <v>5000.0</v>
      </c>
      <c r="G69" s="21" t="s">
        <v>66</v>
      </c>
      <c r="H69" s="20"/>
      <c r="I69" s="20"/>
      <c r="J69" s="20"/>
      <c r="K69" s="20"/>
      <c r="L69" s="20"/>
      <c r="M69" s="20"/>
      <c r="N69" s="20"/>
      <c r="O69" s="20"/>
      <c r="P69" s="20"/>
      <c r="Q69" s="20"/>
      <c r="R69" s="20"/>
      <c r="S69" s="20"/>
      <c r="T69" s="22"/>
      <c r="U69" s="22"/>
      <c r="V69" s="22"/>
      <c r="W69" s="22"/>
      <c r="X69" s="22"/>
      <c r="Y69" s="22"/>
      <c r="Z69" s="22"/>
    </row>
    <row r="70" ht="24.75" customHeight="1">
      <c r="A70" s="12">
        <v>52.0</v>
      </c>
      <c r="B70" s="20" t="s">
        <v>117</v>
      </c>
      <c r="C70" s="20">
        <v>6000.0</v>
      </c>
      <c r="D70" s="20" t="s">
        <v>59</v>
      </c>
      <c r="E70" s="19" t="s">
        <v>17</v>
      </c>
      <c r="F70" s="19">
        <v>3000.0</v>
      </c>
      <c r="G70" s="21" t="s">
        <v>81</v>
      </c>
      <c r="H70" s="20"/>
      <c r="I70" s="20"/>
      <c r="J70" s="20"/>
      <c r="K70" s="20"/>
      <c r="L70" s="20"/>
      <c r="M70" s="20"/>
      <c r="N70" s="20"/>
      <c r="O70" s="20"/>
      <c r="P70" s="20"/>
      <c r="Q70" s="20"/>
      <c r="R70" s="20"/>
      <c r="S70" s="20"/>
      <c r="T70" s="22"/>
      <c r="U70" s="22"/>
      <c r="V70" s="22"/>
      <c r="W70" s="22"/>
      <c r="X70" s="22"/>
      <c r="Y70" s="22"/>
      <c r="Z70" s="22"/>
    </row>
    <row r="71" ht="24.75" customHeight="1">
      <c r="A71" s="12">
        <v>53.0</v>
      </c>
      <c r="B71" s="20" t="s">
        <v>118</v>
      </c>
      <c r="C71" s="20"/>
      <c r="D71" s="20" t="s">
        <v>59</v>
      </c>
      <c r="E71" s="19" t="s">
        <v>17</v>
      </c>
      <c r="F71" s="19">
        <v>1000.0</v>
      </c>
      <c r="G71" s="21" t="s">
        <v>81</v>
      </c>
      <c r="H71" s="20"/>
      <c r="I71" s="20"/>
      <c r="J71" s="20"/>
      <c r="K71" s="20"/>
      <c r="L71" s="20"/>
      <c r="M71" s="20"/>
      <c r="N71" s="20"/>
      <c r="O71" s="20"/>
      <c r="P71" s="20"/>
      <c r="Q71" s="20"/>
      <c r="R71" s="20"/>
      <c r="S71" s="20"/>
      <c r="T71" s="22"/>
      <c r="U71" s="22"/>
      <c r="V71" s="22"/>
      <c r="W71" s="22"/>
      <c r="X71" s="22"/>
      <c r="Y71" s="22"/>
      <c r="Z71" s="22"/>
    </row>
    <row r="72" ht="24.75" customHeight="1">
      <c r="A72" s="12">
        <v>54.0</v>
      </c>
      <c r="B72" s="13" t="s">
        <v>119</v>
      </c>
      <c r="C72" s="13">
        <v>1500.0</v>
      </c>
      <c r="D72" s="13" t="s">
        <v>20</v>
      </c>
      <c r="E72" s="12" t="s">
        <v>17</v>
      </c>
      <c r="F72" s="12">
        <v>2000.0</v>
      </c>
      <c r="G72" s="14" t="s">
        <v>120</v>
      </c>
      <c r="H72" s="13"/>
      <c r="I72" s="13"/>
      <c r="J72" s="13"/>
      <c r="K72" s="13"/>
      <c r="L72" s="13"/>
      <c r="M72" s="13"/>
      <c r="N72" s="13"/>
      <c r="O72" s="13"/>
      <c r="P72" s="13"/>
      <c r="Q72" s="13"/>
      <c r="R72" s="13"/>
      <c r="S72" s="13"/>
      <c r="T72" s="15"/>
      <c r="U72" s="15"/>
      <c r="V72" s="15"/>
      <c r="W72" s="15"/>
      <c r="X72" s="15"/>
      <c r="Y72" s="15"/>
      <c r="Z72" s="15"/>
    </row>
    <row r="73" ht="24.75" customHeight="1">
      <c r="A73" s="12">
        <v>55.0</v>
      </c>
      <c r="B73" s="13" t="s">
        <v>121</v>
      </c>
      <c r="C73" s="13">
        <v>7500.0</v>
      </c>
      <c r="D73" s="13" t="s">
        <v>16</v>
      </c>
      <c r="E73" s="12">
        <v>5900.0</v>
      </c>
      <c r="F73" s="12">
        <v>2000.0</v>
      </c>
      <c r="G73" s="14" t="s">
        <v>120</v>
      </c>
      <c r="H73" s="13"/>
      <c r="I73" s="13"/>
      <c r="J73" s="13"/>
      <c r="K73" s="13"/>
      <c r="L73" s="13"/>
      <c r="M73" s="13"/>
      <c r="N73" s="13"/>
      <c r="O73" s="13"/>
      <c r="P73" s="13"/>
      <c r="Q73" s="13"/>
      <c r="R73" s="13"/>
      <c r="S73" s="13"/>
      <c r="T73" s="15"/>
      <c r="U73" s="15"/>
      <c r="V73" s="15"/>
      <c r="W73" s="15"/>
      <c r="X73" s="15"/>
      <c r="Y73" s="15"/>
      <c r="Z73" s="15"/>
    </row>
    <row r="74" ht="24.75" customHeight="1">
      <c r="A74" s="30"/>
      <c r="B74" s="13" t="s">
        <v>122</v>
      </c>
      <c r="C74" s="31"/>
      <c r="D74" s="32"/>
      <c r="E74" s="30"/>
      <c r="F74" s="30"/>
      <c r="G74" s="33"/>
      <c r="H74" s="32"/>
      <c r="I74" s="32"/>
      <c r="J74" s="32"/>
      <c r="K74" s="32"/>
      <c r="L74" s="32"/>
      <c r="M74" s="32"/>
      <c r="N74" s="32"/>
      <c r="O74" s="32"/>
      <c r="P74" s="32"/>
      <c r="Q74" s="32"/>
      <c r="R74" s="32"/>
      <c r="S74" s="32"/>
      <c r="T74" s="34"/>
      <c r="U74" s="34"/>
      <c r="V74" s="34"/>
      <c r="W74" s="34"/>
      <c r="X74" s="34"/>
      <c r="Y74" s="34"/>
      <c r="Z74" s="34"/>
    </row>
    <row r="75" ht="24.75" customHeight="1">
      <c r="A75" s="30"/>
      <c r="B75" s="31"/>
      <c r="C75" s="31"/>
      <c r="D75" s="32"/>
      <c r="E75" s="30"/>
      <c r="F75" s="30"/>
      <c r="G75" s="33"/>
      <c r="H75" s="32"/>
      <c r="I75" s="32"/>
      <c r="J75" s="32"/>
      <c r="K75" s="32"/>
      <c r="L75" s="32"/>
      <c r="M75" s="32"/>
      <c r="N75" s="32"/>
      <c r="O75" s="32"/>
      <c r="P75" s="32"/>
      <c r="Q75" s="32"/>
      <c r="R75" s="32"/>
      <c r="S75" s="32"/>
      <c r="T75" s="34"/>
      <c r="U75" s="34"/>
      <c r="V75" s="34"/>
      <c r="W75" s="34"/>
      <c r="X75" s="34"/>
      <c r="Y75" s="34"/>
      <c r="Z75" s="34"/>
    </row>
    <row r="76" ht="24.75" customHeight="1">
      <c r="A76" s="30"/>
      <c r="B76" s="31"/>
      <c r="C76" s="31"/>
      <c r="D76" s="32"/>
      <c r="E76" s="30"/>
      <c r="F76" s="30"/>
      <c r="G76" s="33"/>
      <c r="H76" s="32"/>
      <c r="I76" s="32"/>
      <c r="J76" s="32"/>
      <c r="K76" s="32"/>
      <c r="L76" s="32"/>
      <c r="M76" s="32"/>
      <c r="N76" s="32"/>
      <c r="O76" s="32"/>
      <c r="P76" s="32"/>
      <c r="Q76" s="32"/>
      <c r="R76" s="32"/>
      <c r="S76" s="32"/>
      <c r="T76" s="34"/>
      <c r="U76" s="34"/>
      <c r="V76" s="34"/>
      <c r="W76" s="34"/>
      <c r="X76" s="34"/>
      <c r="Y76" s="34"/>
      <c r="Z76" s="34"/>
    </row>
    <row r="77" ht="24.75" customHeight="1">
      <c r="A77" s="12"/>
      <c r="B77" s="18"/>
      <c r="C77" s="13"/>
      <c r="D77" s="13"/>
      <c r="E77" s="12"/>
      <c r="F77" s="35"/>
      <c r="G77" s="14"/>
      <c r="H77" s="13"/>
      <c r="I77" s="13"/>
      <c r="J77" s="24"/>
      <c r="K77" s="13"/>
      <c r="L77" s="13"/>
      <c r="M77" s="13"/>
      <c r="N77" s="13"/>
      <c r="O77" s="13"/>
      <c r="P77" s="13"/>
      <c r="Q77" s="13"/>
      <c r="R77" s="13"/>
      <c r="S77" s="13"/>
      <c r="T77" s="15"/>
      <c r="U77" s="15"/>
      <c r="V77" s="15"/>
      <c r="W77" s="15"/>
      <c r="X77" s="15"/>
      <c r="Y77" s="15"/>
      <c r="Z77" s="15"/>
    </row>
    <row r="78" ht="24.75" customHeight="1">
      <c r="A78" s="36"/>
      <c r="B78" s="37"/>
      <c r="C78" s="37"/>
      <c r="D78" s="37"/>
      <c r="E78" s="36"/>
      <c r="F78" s="38"/>
      <c r="G78" s="39"/>
      <c r="H78" s="37"/>
      <c r="I78" s="37"/>
      <c r="J78" s="37"/>
      <c r="K78" s="37"/>
      <c r="L78" s="37"/>
      <c r="M78" s="37"/>
      <c r="N78" s="37"/>
      <c r="O78" s="37"/>
      <c r="P78" s="37"/>
      <c r="Q78" s="37"/>
      <c r="R78" s="37"/>
      <c r="S78" s="37"/>
      <c r="T78" s="40"/>
      <c r="U78" s="40"/>
      <c r="V78" s="40"/>
      <c r="W78" s="40"/>
      <c r="X78" s="40"/>
      <c r="Y78" s="40"/>
      <c r="Z78" s="40"/>
      <c r="AA78" s="41"/>
    </row>
    <row r="79" ht="24.75" customHeight="1">
      <c r="A79" s="12"/>
      <c r="B79" s="13"/>
      <c r="C79" s="13"/>
      <c r="D79" s="13"/>
      <c r="E79" s="12"/>
      <c r="F79" s="35"/>
      <c r="G79" s="14"/>
      <c r="H79" s="13"/>
      <c r="I79" s="13"/>
      <c r="J79" s="13"/>
      <c r="K79" s="13"/>
      <c r="L79" s="13"/>
      <c r="M79" s="13"/>
      <c r="N79" s="13"/>
      <c r="O79" s="13"/>
      <c r="P79" s="13"/>
      <c r="Q79" s="13"/>
      <c r="R79" s="13"/>
      <c r="S79" s="13"/>
      <c r="T79" s="15"/>
      <c r="U79" s="15"/>
      <c r="V79" s="15"/>
      <c r="W79" s="15"/>
      <c r="X79" s="15"/>
      <c r="Y79" s="15"/>
      <c r="Z79" s="15"/>
    </row>
    <row r="80" ht="24.75" customHeight="1">
      <c r="A80" s="12"/>
      <c r="B80" s="13"/>
      <c r="C80" s="13"/>
      <c r="D80" s="13"/>
      <c r="E80" s="12"/>
      <c r="F80" s="35"/>
      <c r="G80" s="14"/>
      <c r="H80" s="13"/>
      <c r="I80" s="13"/>
      <c r="J80" s="13"/>
      <c r="K80" s="13"/>
      <c r="L80" s="13"/>
      <c r="M80" s="13"/>
      <c r="N80" s="13"/>
      <c r="O80" s="13"/>
      <c r="P80" s="13"/>
      <c r="Q80" s="13"/>
      <c r="R80" s="13"/>
      <c r="S80" s="13"/>
      <c r="T80" s="15"/>
      <c r="U80" s="15"/>
      <c r="V80" s="15"/>
      <c r="W80" s="15"/>
      <c r="X80" s="15"/>
      <c r="Y80" s="15"/>
      <c r="Z80" s="15"/>
    </row>
    <row r="81" ht="24.75" customHeight="1">
      <c r="A81" s="12"/>
      <c r="B81" s="13"/>
      <c r="C81" s="13"/>
      <c r="D81" s="13"/>
      <c r="E81" s="12"/>
      <c r="F81" s="35"/>
      <c r="G81" s="14"/>
      <c r="H81" s="13"/>
      <c r="I81" s="13"/>
      <c r="J81" s="13"/>
      <c r="K81" s="13"/>
      <c r="L81" s="13"/>
      <c r="M81" s="13"/>
      <c r="N81" s="13"/>
      <c r="O81" s="13"/>
      <c r="P81" s="13"/>
      <c r="Q81" s="13"/>
      <c r="R81" s="13"/>
      <c r="S81" s="13"/>
      <c r="T81" s="15"/>
      <c r="U81" s="15"/>
      <c r="V81" s="15"/>
      <c r="W81" s="15"/>
      <c r="X81" s="15"/>
      <c r="Y81" s="15"/>
      <c r="Z81" s="15"/>
    </row>
    <row r="82" ht="24.75" customHeight="1">
      <c r="A82" s="12"/>
      <c r="B82" s="13"/>
      <c r="C82" s="13"/>
      <c r="D82" s="13"/>
      <c r="E82" s="12"/>
      <c r="F82" s="35"/>
      <c r="G82" s="14"/>
      <c r="H82" s="13"/>
      <c r="I82" s="13"/>
      <c r="J82" s="13"/>
      <c r="K82" s="13"/>
      <c r="L82" s="13"/>
      <c r="M82" s="13"/>
      <c r="N82" s="13"/>
      <c r="O82" s="13"/>
      <c r="P82" s="13"/>
      <c r="Q82" s="13"/>
      <c r="R82" s="13"/>
      <c r="S82" s="13"/>
      <c r="T82" s="15"/>
      <c r="U82" s="15"/>
      <c r="V82" s="15"/>
      <c r="W82" s="15"/>
      <c r="X82" s="15"/>
      <c r="Y82" s="15"/>
      <c r="Z82" s="15"/>
    </row>
    <row r="83" ht="24.75" customHeight="1">
      <c r="A83" s="12"/>
      <c r="B83" s="13"/>
      <c r="C83" s="13"/>
      <c r="D83" s="13"/>
      <c r="E83" s="12"/>
      <c r="F83" s="35"/>
      <c r="G83" s="14"/>
      <c r="H83" s="13"/>
      <c r="I83" s="13"/>
      <c r="J83" s="13"/>
      <c r="K83" s="13"/>
      <c r="L83" s="13"/>
      <c r="M83" s="13"/>
      <c r="N83" s="13"/>
      <c r="O83" s="13"/>
      <c r="P83" s="13"/>
      <c r="Q83" s="13"/>
      <c r="R83" s="13"/>
      <c r="S83" s="13"/>
      <c r="T83" s="15"/>
      <c r="U83" s="15"/>
      <c r="V83" s="15"/>
      <c r="W83" s="15"/>
      <c r="X83" s="15"/>
      <c r="Y83" s="15"/>
      <c r="Z83" s="15"/>
    </row>
    <row r="84" ht="24.75" customHeight="1">
      <c r="A84" s="12"/>
      <c r="B84" s="13"/>
      <c r="C84" s="13"/>
      <c r="D84" s="13"/>
      <c r="E84" s="12"/>
      <c r="F84" s="35"/>
      <c r="G84" s="14"/>
      <c r="H84" s="13"/>
      <c r="I84" s="13"/>
      <c r="J84" s="13"/>
      <c r="K84" s="13"/>
      <c r="L84" s="13"/>
      <c r="M84" s="13"/>
      <c r="N84" s="13"/>
      <c r="O84" s="13"/>
      <c r="P84" s="13"/>
      <c r="Q84" s="13"/>
      <c r="R84" s="13"/>
      <c r="S84" s="13"/>
      <c r="T84" s="15"/>
      <c r="U84" s="15"/>
      <c r="V84" s="15"/>
      <c r="W84" s="15"/>
      <c r="X84" s="15"/>
      <c r="Y84" s="15"/>
      <c r="Z84" s="15"/>
    </row>
    <row r="85" ht="24.75" customHeight="1">
      <c r="A85" s="12"/>
      <c r="B85" s="13"/>
      <c r="C85" s="13"/>
      <c r="D85" s="13"/>
      <c r="E85" s="12"/>
      <c r="F85" s="35"/>
      <c r="G85" s="14"/>
      <c r="H85" s="13"/>
      <c r="I85" s="13"/>
      <c r="J85" s="13"/>
      <c r="K85" s="13"/>
      <c r="L85" s="13"/>
      <c r="M85" s="13"/>
      <c r="N85" s="13"/>
      <c r="O85" s="13"/>
      <c r="P85" s="13"/>
      <c r="Q85" s="13"/>
      <c r="R85" s="13"/>
      <c r="S85" s="13"/>
      <c r="T85" s="15"/>
      <c r="U85" s="15"/>
      <c r="V85" s="15"/>
      <c r="W85" s="15"/>
      <c r="X85" s="15"/>
      <c r="Y85" s="15"/>
      <c r="Z85" s="15"/>
    </row>
    <row r="86" ht="24.75" customHeight="1">
      <c r="A86" s="12"/>
      <c r="B86" s="13"/>
      <c r="C86" s="13"/>
      <c r="D86" s="13"/>
      <c r="E86" s="12"/>
      <c r="F86" s="35"/>
      <c r="G86" s="14"/>
      <c r="H86" s="13"/>
      <c r="I86" s="13"/>
      <c r="J86" s="13"/>
      <c r="K86" s="13"/>
      <c r="L86" s="13"/>
      <c r="M86" s="13"/>
      <c r="N86" s="13"/>
      <c r="O86" s="13"/>
      <c r="P86" s="13"/>
      <c r="Q86" s="13"/>
      <c r="R86" s="13"/>
      <c r="S86" s="13"/>
      <c r="T86" s="15"/>
      <c r="U86" s="15"/>
      <c r="V86" s="15"/>
      <c r="W86" s="15"/>
      <c r="X86" s="15"/>
      <c r="Y86" s="15"/>
      <c r="Z86" s="15"/>
    </row>
    <row r="87" ht="24.75" customHeight="1">
      <c r="A87" s="12"/>
      <c r="B87" s="42"/>
      <c r="C87" s="42"/>
      <c r="D87" s="13"/>
      <c r="E87" s="12"/>
      <c r="F87" s="35"/>
      <c r="G87" s="14"/>
      <c r="H87" s="13"/>
      <c r="I87" s="13"/>
      <c r="J87" s="13"/>
      <c r="K87" s="13"/>
      <c r="L87" s="13"/>
      <c r="M87" s="13"/>
      <c r="N87" s="13"/>
      <c r="O87" s="13"/>
      <c r="P87" s="13"/>
      <c r="Q87" s="13"/>
      <c r="R87" s="13"/>
      <c r="S87" s="13"/>
      <c r="T87" s="15"/>
      <c r="U87" s="15"/>
      <c r="V87" s="15"/>
      <c r="W87" s="15"/>
      <c r="X87" s="15"/>
      <c r="Y87" s="15"/>
      <c r="Z87" s="15"/>
    </row>
    <row r="88" ht="24.75" customHeight="1">
      <c r="A88" s="12"/>
      <c r="B88" s="42"/>
      <c r="C88" s="42"/>
      <c r="D88" s="13"/>
      <c r="E88" s="12"/>
      <c r="F88" s="35"/>
      <c r="G88" s="14"/>
      <c r="H88" s="13"/>
      <c r="I88" s="13"/>
      <c r="J88" s="13"/>
      <c r="K88" s="13"/>
      <c r="L88" s="13"/>
      <c r="M88" s="13"/>
      <c r="N88" s="13"/>
      <c r="O88" s="13"/>
      <c r="P88" s="13"/>
      <c r="Q88" s="13"/>
      <c r="R88" s="13"/>
      <c r="S88" s="13"/>
      <c r="T88" s="15"/>
      <c r="U88" s="15"/>
      <c r="V88" s="15"/>
      <c r="W88" s="15"/>
      <c r="X88" s="15"/>
      <c r="Y88" s="15"/>
      <c r="Z88" s="15"/>
    </row>
    <row r="89" ht="24.75" customHeight="1">
      <c r="A89" s="12"/>
      <c r="B89" s="42"/>
      <c r="C89" s="42"/>
      <c r="D89" s="13"/>
      <c r="E89" s="12"/>
      <c r="F89" s="35"/>
      <c r="G89" s="14"/>
      <c r="H89" s="13"/>
      <c r="I89" s="13"/>
      <c r="J89" s="13"/>
      <c r="K89" s="13"/>
      <c r="L89" s="13"/>
      <c r="M89" s="13"/>
      <c r="N89" s="13"/>
      <c r="O89" s="13"/>
      <c r="P89" s="13"/>
      <c r="Q89" s="13"/>
      <c r="R89" s="13"/>
      <c r="S89" s="13"/>
      <c r="T89" s="15"/>
      <c r="U89" s="15"/>
      <c r="V89" s="15"/>
      <c r="W89" s="15"/>
      <c r="X89" s="15"/>
      <c r="Y89" s="15"/>
      <c r="Z89" s="15"/>
    </row>
    <row r="90" ht="24.75" customHeight="1">
      <c r="A90" s="43"/>
      <c r="B90" s="42"/>
      <c r="C90" s="42"/>
      <c r="D90" s="13"/>
      <c r="E90" s="12"/>
      <c r="F90" s="35"/>
      <c r="G90" s="15"/>
      <c r="H90" s="15"/>
      <c r="I90" s="15"/>
      <c r="J90" s="15"/>
      <c r="K90" s="15"/>
      <c r="L90" s="15"/>
      <c r="M90" s="15"/>
      <c r="N90" s="15"/>
      <c r="O90" s="15"/>
      <c r="P90" s="15"/>
      <c r="Q90" s="15"/>
      <c r="R90" s="15"/>
      <c r="S90" s="15"/>
      <c r="T90" s="15"/>
      <c r="U90" s="15"/>
      <c r="V90" s="15"/>
      <c r="W90" s="15"/>
      <c r="X90" s="15"/>
      <c r="Y90" s="15"/>
      <c r="Z90" s="15"/>
    </row>
    <row r="91" ht="24.75" customHeight="1">
      <c r="A91" s="43"/>
      <c r="B91" s="42"/>
      <c r="C91" s="42"/>
      <c r="D91" s="13"/>
      <c r="E91" s="12"/>
      <c r="F91" s="35"/>
      <c r="G91" s="15"/>
      <c r="H91" s="15"/>
      <c r="I91" s="15"/>
      <c r="J91" s="15"/>
      <c r="K91" s="15"/>
      <c r="L91" s="15"/>
      <c r="M91" s="15"/>
      <c r="N91" s="15"/>
      <c r="O91" s="15"/>
      <c r="P91" s="15"/>
      <c r="Q91" s="15"/>
      <c r="R91" s="15"/>
      <c r="S91" s="15"/>
      <c r="T91" s="15"/>
      <c r="U91" s="15"/>
      <c r="V91" s="15"/>
      <c r="W91" s="15"/>
      <c r="X91" s="15"/>
      <c r="Y91" s="15"/>
      <c r="Z91" s="15"/>
    </row>
    <row r="92" ht="24.75" customHeight="1">
      <c r="A92" s="43"/>
      <c r="B92" s="42"/>
      <c r="C92" s="42"/>
      <c r="D92" s="13"/>
      <c r="E92" s="12"/>
      <c r="F92" s="35"/>
      <c r="G92" s="15"/>
      <c r="H92" s="15"/>
      <c r="I92" s="15"/>
      <c r="J92" s="15"/>
      <c r="K92" s="15"/>
      <c r="L92" s="15"/>
      <c r="M92" s="15"/>
      <c r="N92" s="15"/>
      <c r="O92" s="15"/>
      <c r="P92" s="15"/>
      <c r="Q92" s="15"/>
      <c r="R92" s="15"/>
      <c r="S92" s="15"/>
      <c r="T92" s="15"/>
      <c r="U92" s="15"/>
      <c r="V92" s="15"/>
      <c r="W92" s="15"/>
      <c r="X92" s="15"/>
      <c r="Y92" s="15"/>
      <c r="Z92" s="15"/>
    </row>
    <row r="93" ht="24.75" customHeight="1">
      <c r="A93" s="43"/>
      <c r="B93" s="42"/>
      <c r="C93" s="42"/>
      <c r="D93" s="13"/>
      <c r="E93" s="12"/>
      <c r="F93" s="35"/>
      <c r="G93" s="15"/>
      <c r="H93" s="15"/>
      <c r="I93" s="15"/>
      <c r="J93" s="15"/>
      <c r="K93" s="15"/>
      <c r="L93" s="15"/>
      <c r="M93" s="15"/>
      <c r="N93" s="15"/>
      <c r="O93" s="15"/>
      <c r="P93" s="15"/>
      <c r="Q93" s="15"/>
      <c r="R93" s="15"/>
      <c r="S93" s="15"/>
      <c r="T93" s="15"/>
      <c r="U93" s="15"/>
      <c r="V93" s="15"/>
      <c r="W93" s="15"/>
      <c r="X93" s="15"/>
      <c r="Y93" s="15"/>
      <c r="Z93" s="15"/>
    </row>
    <row r="94" ht="24.75" customHeight="1">
      <c r="A94" s="43"/>
      <c r="B94" s="42"/>
      <c r="C94" s="42"/>
      <c r="D94" s="13"/>
      <c r="E94" s="12"/>
      <c r="F94" s="35"/>
      <c r="G94" s="15"/>
      <c r="H94" s="15"/>
      <c r="I94" s="15"/>
      <c r="J94" s="15"/>
      <c r="K94" s="15"/>
      <c r="L94" s="15"/>
      <c r="M94" s="15"/>
      <c r="N94" s="15"/>
      <c r="O94" s="15"/>
      <c r="P94" s="15"/>
      <c r="Q94" s="15"/>
      <c r="R94" s="15"/>
      <c r="S94" s="15"/>
      <c r="T94" s="15"/>
      <c r="U94" s="15"/>
      <c r="V94" s="15"/>
      <c r="W94" s="15"/>
      <c r="X94" s="15"/>
      <c r="Y94" s="15"/>
      <c r="Z94" s="15"/>
    </row>
    <row r="95" ht="24.75" customHeight="1">
      <c r="A95" s="43"/>
      <c r="B95" s="42"/>
      <c r="C95" s="42"/>
      <c r="D95" s="13"/>
      <c r="E95" s="12"/>
      <c r="F95" s="35"/>
      <c r="G95" s="15"/>
      <c r="H95" s="15"/>
      <c r="I95" s="15"/>
      <c r="J95" s="15"/>
      <c r="K95" s="15"/>
      <c r="L95" s="15"/>
      <c r="M95" s="15"/>
      <c r="N95" s="15"/>
      <c r="O95" s="15"/>
      <c r="P95" s="15"/>
      <c r="Q95" s="15"/>
      <c r="R95" s="15"/>
      <c r="S95" s="15"/>
      <c r="T95" s="15"/>
      <c r="U95" s="15"/>
      <c r="V95" s="15"/>
      <c r="W95" s="15"/>
      <c r="X95" s="15"/>
      <c r="Y95" s="15"/>
      <c r="Z95" s="15"/>
    </row>
    <row r="96" ht="24.75" customHeight="1">
      <c r="A96" s="43"/>
      <c r="B96" s="42"/>
      <c r="C96" s="42"/>
      <c r="D96" s="13"/>
      <c r="E96" s="12"/>
      <c r="F96" s="35"/>
      <c r="G96" s="15"/>
      <c r="H96" s="15"/>
      <c r="I96" s="15"/>
      <c r="J96" s="15"/>
      <c r="K96" s="15"/>
      <c r="L96" s="15"/>
      <c r="M96" s="15"/>
      <c r="N96" s="15"/>
      <c r="O96" s="15"/>
      <c r="P96" s="15"/>
      <c r="Q96" s="15"/>
      <c r="R96" s="15"/>
      <c r="S96" s="15"/>
      <c r="T96" s="15"/>
      <c r="U96" s="15"/>
      <c r="V96" s="15"/>
      <c r="W96" s="15"/>
      <c r="X96" s="15"/>
      <c r="Y96" s="15"/>
      <c r="Z96" s="15"/>
    </row>
    <row r="97" ht="24.75" customHeight="1">
      <c r="A97" s="43"/>
      <c r="B97" s="15"/>
      <c r="C97" s="15"/>
      <c r="D97" s="13"/>
      <c r="E97" s="12"/>
      <c r="F97" s="35"/>
      <c r="G97" s="13"/>
      <c r="H97" s="13"/>
      <c r="I97" s="12"/>
      <c r="J97" s="35"/>
      <c r="K97" s="35"/>
      <c r="L97" s="15"/>
      <c r="M97" s="15"/>
      <c r="N97" s="35"/>
      <c r="O97" s="15"/>
      <c r="P97" s="15"/>
      <c r="Q97" s="15"/>
      <c r="R97" s="15"/>
      <c r="S97" s="15"/>
      <c r="T97" s="15"/>
      <c r="U97" s="15"/>
      <c r="V97" s="15"/>
      <c r="W97" s="15"/>
      <c r="X97" s="15"/>
      <c r="Y97" s="15"/>
      <c r="Z97" s="15"/>
    </row>
    <row r="98" ht="24.75" customHeight="1">
      <c r="A98" s="43"/>
      <c r="B98" s="15"/>
      <c r="C98" s="15"/>
      <c r="D98" s="13"/>
      <c r="E98" s="12"/>
      <c r="F98" s="35"/>
      <c r="G98" s="13"/>
      <c r="H98" s="13"/>
      <c r="I98" s="12"/>
      <c r="J98" s="35"/>
      <c r="K98" s="35"/>
      <c r="L98" s="15"/>
      <c r="M98" s="15"/>
      <c r="N98" s="35" t="s">
        <v>123</v>
      </c>
      <c r="O98" s="15"/>
      <c r="P98" s="15"/>
      <c r="Q98" s="15"/>
      <c r="R98" s="15"/>
      <c r="S98" s="15"/>
      <c r="T98" s="15"/>
      <c r="U98" s="15"/>
      <c r="V98" s="15"/>
      <c r="W98" s="15"/>
      <c r="X98" s="15"/>
      <c r="Y98" s="15"/>
      <c r="Z98" s="15"/>
    </row>
    <row r="99" ht="24.75" customHeight="1">
      <c r="A99" s="43"/>
      <c r="B99" s="15"/>
      <c r="C99" s="15"/>
      <c r="D99" s="13"/>
      <c r="E99" s="12"/>
      <c r="F99" s="35"/>
      <c r="G99" s="13"/>
      <c r="H99" s="13"/>
      <c r="I99" s="12"/>
      <c r="J99" s="35"/>
      <c r="K99" s="35"/>
      <c r="L99" s="15"/>
      <c r="M99" s="15"/>
      <c r="N99" s="35"/>
      <c r="O99" s="15"/>
      <c r="P99" s="15"/>
      <c r="Q99" s="15"/>
      <c r="R99" s="15"/>
      <c r="S99" s="15"/>
      <c r="T99" s="15"/>
      <c r="U99" s="15"/>
      <c r="V99" s="15"/>
      <c r="W99" s="15"/>
      <c r="X99" s="15"/>
      <c r="Y99" s="15"/>
      <c r="Z99" s="15"/>
    </row>
    <row r="100" ht="24.75" customHeight="1">
      <c r="A100" s="43"/>
      <c r="B100" s="15"/>
      <c r="C100" s="15"/>
      <c r="D100" s="15"/>
      <c r="E100" s="43"/>
      <c r="F100" s="43"/>
      <c r="G100" s="13"/>
      <c r="H100" s="13"/>
      <c r="I100" s="12"/>
      <c r="J100" s="35"/>
      <c r="K100" s="35"/>
      <c r="L100" s="15"/>
      <c r="M100" s="15"/>
      <c r="N100" s="35"/>
      <c r="O100" s="15"/>
      <c r="P100" s="15"/>
      <c r="Q100" s="15"/>
      <c r="R100" s="15"/>
      <c r="S100" s="15"/>
      <c r="T100" s="15"/>
      <c r="U100" s="15"/>
      <c r="V100" s="15"/>
      <c r="W100" s="15"/>
      <c r="X100" s="15"/>
      <c r="Y100" s="15"/>
      <c r="Z100" s="15"/>
    </row>
    <row r="101" ht="24.75" customHeight="1">
      <c r="A101" s="43"/>
      <c r="B101" s="15"/>
      <c r="C101" s="15"/>
      <c r="D101" s="15"/>
      <c r="E101" s="43"/>
      <c r="F101" s="43"/>
      <c r="G101" s="13"/>
      <c r="H101" s="13"/>
      <c r="I101" s="12"/>
      <c r="J101" s="35"/>
      <c r="K101" s="35"/>
      <c r="L101" s="15"/>
      <c r="M101" s="15"/>
      <c r="N101" s="35"/>
      <c r="O101" s="15"/>
      <c r="P101" s="15"/>
      <c r="Q101" s="15"/>
      <c r="R101" s="15"/>
      <c r="S101" s="15"/>
      <c r="T101" s="15"/>
      <c r="U101" s="15"/>
      <c r="V101" s="15"/>
      <c r="W101" s="15"/>
      <c r="X101" s="15"/>
      <c r="Y101" s="15"/>
      <c r="Z101" s="15"/>
    </row>
    <row r="102" ht="24.75" customHeight="1">
      <c r="A102" s="43"/>
      <c r="B102" s="15"/>
      <c r="C102" s="15"/>
      <c r="D102" s="15"/>
      <c r="E102" s="43"/>
      <c r="F102" s="43"/>
      <c r="G102" s="13"/>
      <c r="H102" s="13"/>
      <c r="I102" s="12"/>
      <c r="J102" s="35"/>
      <c r="K102" s="35"/>
      <c r="L102" s="15"/>
      <c r="M102" s="15"/>
      <c r="N102" s="35" t="s">
        <v>124</v>
      </c>
      <c r="O102" s="15"/>
      <c r="P102" s="15"/>
      <c r="Q102" s="15"/>
      <c r="R102" s="15"/>
      <c r="S102" s="15"/>
      <c r="T102" s="15"/>
      <c r="U102" s="15"/>
      <c r="V102" s="15"/>
      <c r="W102" s="15"/>
      <c r="X102" s="15"/>
      <c r="Y102" s="15"/>
      <c r="Z102" s="15"/>
    </row>
    <row r="103" ht="24.75" customHeight="1">
      <c r="A103" s="43"/>
      <c r="B103" s="15"/>
      <c r="C103" s="15"/>
      <c r="D103" s="15"/>
      <c r="E103" s="43"/>
      <c r="F103" s="43"/>
      <c r="G103" s="13"/>
      <c r="H103" s="13"/>
      <c r="I103" s="12"/>
      <c r="J103" s="35"/>
      <c r="K103" s="35"/>
      <c r="L103" s="15"/>
      <c r="M103" s="15"/>
      <c r="N103" s="35"/>
      <c r="O103" s="15"/>
      <c r="P103" s="15"/>
      <c r="Q103" s="15"/>
      <c r="R103" s="15"/>
      <c r="S103" s="15"/>
      <c r="T103" s="15"/>
      <c r="U103" s="15"/>
      <c r="V103" s="15"/>
      <c r="W103" s="15"/>
      <c r="X103" s="15"/>
      <c r="Y103" s="15"/>
      <c r="Z103" s="15"/>
    </row>
    <row r="104" ht="24.75" customHeight="1">
      <c r="A104" s="43"/>
      <c r="B104" s="15"/>
      <c r="C104" s="15"/>
      <c r="D104" s="15"/>
      <c r="E104" s="43"/>
      <c r="F104" s="43"/>
      <c r="G104" s="13"/>
      <c r="H104" s="13"/>
      <c r="I104" s="12"/>
      <c r="J104" s="35"/>
      <c r="K104" s="35"/>
      <c r="L104" s="15"/>
      <c r="M104" s="15"/>
      <c r="N104" s="35"/>
      <c r="O104" s="15"/>
      <c r="P104" s="15"/>
      <c r="Q104" s="15"/>
      <c r="R104" s="15"/>
      <c r="S104" s="15"/>
      <c r="T104" s="15"/>
      <c r="U104" s="15"/>
      <c r="V104" s="15"/>
      <c r="W104" s="15"/>
      <c r="X104" s="15"/>
      <c r="Y104" s="15"/>
      <c r="Z104" s="15"/>
    </row>
    <row r="105" ht="24.75" customHeight="1">
      <c r="A105" s="43"/>
      <c r="B105" s="15"/>
      <c r="C105" s="15"/>
      <c r="D105" s="15"/>
      <c r="E105" s="43"/>
      <c r="F105" s="43"/>
      <c r="G105" s="13"/>
      <c r="H105" s="13"/>
      <c r="I105" s="12"/>
      <c r="J105" s="35"/>
      <c r="K105" s="35"/>
      <c r="L105" s="15"/>
      <c r="M105" s="15"/>
      <c r="N105" s="35"/>
      <c r="O105" s="15"/>
      <c r="P105" s="15"/>
      <c r="Q105" s="15"/>
      <c r="R105" s="15"/>
      <c r="S105" s="15"/>
      <c r="T105" s="15"/>
      <c r="U105" s="15"/>
      <c r="V105" s="15"/>
      <c r="W105" s="15"/>
      <c r="X105" s="15"/>
      <c r="Y105" s="15"/>
      <c r="Z105" s="15"/>
    </row>
    <row r="106" ht="24.75" customHeight="1">
      <c r="A106" s="43"/>
      <c r="B106" s="15"/>
      <c r="C106" s="15"/>
      <c r="D106" s="15"/>
      <c r="E106" s="43"/>
      <c r="F106" s="43"/>
      <c r="G106" s="13"/>
      <c r="H106" s="13"/>
      <c r="I106" s="12"/>
      <c r="J106" s="35"/>
      <c r="K106" s="35"/>
      <c r="L106" s="15"/>
      <c r="M106" s="15"/>
      <c r="N106" s="35"/>
      <c r="O106" s="15"/>
      <c r="P106" s="15"/>
      <c r="Q106" s="15"/>
      <c r="R106" s="15"/>
      <c r="S106" s="15"/>
      <c r="T106" s="15"/>
      <c r="U106" s="15"/>
      <c r="V106" s="15"/>
      <c r="W106" s="15"/>
      <c r="X106" s="15"/>
      <c r="Y106" s="15"/>
      <c r="Z106" s="15"/>
    </row>
    <row r="107" ht="24.75" customHeight="1">
      <c r="A107" s="43"/>
      <c r="B107" s="15"/>
      <c r="C107" s="15"/>
      <c r="D107" s="15"/>
      <c r="E107" s="43"/>
      <c r="F107" s="43"/>
      <c r="G107" s="13"/>
      <c r="H107" s="13"/>
      <c r="I107" s="12"/>
      <c r="J107" s="35"/>
      <c r="K107" s="35"/>
      <c r="L107" s="15"/>
      <c r="M107" s="15"/>
      <c r="N107" s="35"/>
      <c r="O107" s="15"/>
      <c r="P107" s="15"/>
      <c r="Q107" s="15"/>
      <c r="R107" s="15"/>
      <c r="S107" s="15"/>
      <c r="T107" s="15"/>
      <c r="U107" s="15"/>
      <c r="V107" s="15"/>
      <c r="W107" s="15"/>
      <c r="X107" s="15"/>
      <c r="Y107" s="15"/>
      <c r="Z107" s="15"/>
    </row>
    <row r="108" ht="24.75" customHeight="1">
      <c r="A108" s="43"/>
      <c r="B108" s="15"/>
      <c r="C108" s="15"/>
      <c r="D108" s="15"/>
      <c r="E108" s="43"/>
      <c r="F108" s="43"/>
      <c r="G108" s="13"/>
      <c r="H108" s="13"/>
      <c r="I108" s="12"/>
      <c r="J108" s="35"/>
      <c r="K108" s="35"/>
      <c r="L108" s="15"/>
      <c r="M108" s="15"/>
      <c r="N108" s="35"/>
      <c r="O108" s="15"/>
      <c r="P108" s="15"/>
      <c r="Q108" s="15"/>
      <c r="R108" s="15"/>
      <c r="S108" s="15"/>
      <c r="T108" s="15"/>
      <c r="U108" s="15"/>
      <c r="V108" s="15"/>
      <c r="W108" s="15"/>
      <c r="X108" s="15"/>
      <c r="Y108" s="15"/>
      <c r="Z108" s="15"/>
    </row>
    <row r="109" ht="24.75" customHeight="1">
      <c r="A109" s="43"/>
      <c r="B109" s="15"/>
      <c r="C109" s="15"/>
      <c r="D109" s="15"/>
      <c r="E109" s="43"/>
      <c r="F109" s="43"/>
      <c r="G109" s="13"/>
      <c r="H109" s="13"/>
      <c r="I109" s="12"/>
      <c r="J109" s="35"/>
      <c r="K109" s="35"/>
      <c r="L109" s="15"/>
      <c r="M109" s="15"/>
      <c r="N109" s="35"/>
      <c r="O109" s="15"/>
      <c r="P109" s="15"/>
      <c r="Q109" s="15"/>
      <c r="R109" s="15"/>
      <c r="S109" s="15"/>
      <c r="T109" s="15"/>
      <c r="U109" s="15"/>
      <c r="V109" s="15"/>
      <c r="W109" s="15"/>
      <c r="X109" s="15"/>
      <c r="Y109" s="15"/>
      <c r="Z109" s="15"/>
    </row>
    <row r="110" ht="24.75" customHeight="1">
      <c r="A110" s="43"/>
      <c r="B110" s="15"/>
      <c r="C110" s="15"/>
      <c r="D110" s="15"/>
      <c r="E110" s="43"/>
      <c r="F110" s="43"/>
      <c r="G110" s="13"/>
      <c r="H110" s="13"/>
      <c r="I110" s="12"/>
      <c r="J110" s="35"/>
      <c r="K110" s="35"/>
      <c r="L110" s="15"/>
      <c r="M110" s="15"/>
      <c r="N110" s="35"/>
      <c r="O110" s="15"/>
      <c r="P110" s="15"/>
      <c r="Q110" s="15"/>
      <c r="R110" s="15"/>
      <c r="S110" s="15"/>
      <c r="T110" s="15"/>
      <c r="U110" s="15"/>
      <c r="V110" s="15"/>
      <c r="W110" s="15"/>
      <c r="X110" s="15"/>
      <c r="Y110" s="15"/>
      <c r="Z110" s="15"/>
    </row>
    <row r="111" ht="24.75" customHeight="1">
      <c r="A111" s="44"/>
      <c r="B111" s="45"/>
      <c r="C111" s="45"/>
      <c r="D111" s="45"/>
      <c r="E111" s="44"/>
      <c r="F111" s="44"/>
      <c r="G111" s="45"/>
      <c r="H111" s="45"/>
      <c r="I111" s="45"/>
      <c r="J111" s="45"/>
      <c r="L111" s="45"/>
      <c r="M111" s="45"/>
      <c r="N111" s="45"/>
      <c r="O111" s="45"/>
      <c r="P111" s="45"/>
      <c r="Q111" s="45"/>
      <c r="R111" s="45"/>
      <c r="S111" s="45"/>
      <c r="T111" s="45"/>
      <c r="U111" s="45"/>
      <c r="V111" s="45"/>
      <c r="W111" s="45"/>
      <c r="X111" s="45"/>
      <c r="Y111" s="45"/>
      <c r="Z111" s="45"/>
      <c r="AA111" s="45"/>
    </row>
    <row r="112" ht="24.75" customHeight="1">
      <c r="A112" s="44"/>
      <c r="B112" s="45"/>
      <c r="C112" s="45"/>
      <c r="D112" s="45"/>
      <c r="E112" s="44"/>
      <c r="F112" s="44"/>
      <c r="G112" s="45"/>
      <c r="H112" s="45"/>
      <c r="I112" s="45"/>
      <c r="J112" s="45"/>
      <c r="L112" s="45"/>
      <c r="M112" s="45"/>
      <c r="N112" s="45"/>
      <c r="O112" s="45"/>
      <c r="P112" s="45"/>
      <c r="Q112" s="45"/>
      <c r="R112" s="45"/>
      <c r="S112" s="45"/>
      <c r="T112" s="45"/>
      <c r="U112" s="45"/>
      <c r="V112" s="45"/>
      <c r="W112" s="45"/>
      <c r="X112" s="45"/>
      <c r="Y112" s="45"/>
      <c r="Z112" s="45"/>
      <c r="AA112" s="45"/>
    </row>
    <row r="113" ht="24.75" customHeight="1">
      <c r="A113" s="44"/>
      <c r="B113" s="45"/>
      <c r="C113" s="45"/>
      <c r="D113" s="45"/>
      <c r="E113" s="44"/>
      <c r="F113" s="44"/>
      <c r="G113" s="45"/>
      <c r="H113" s="45"/>
      <c r="I113" s="45"/>
      <c r="J113" s="45"/>
      <c r="L113" s="45"/>
      <c r="M113" s="45"/>
      <c r="N113" s="45"/>
      <c r="O113" s="45"/>
      <c r="P113" s="45"/>
      <c r="Q113" s="45"/>
      <c r="R113" s="45"/>
      <c r="S113" s="45"/>
      <c r="T113" s="45"/>
      <c r="U113" s="45"/>
      <c r="V113" s="45"/>
      <c r="W113" s="45"/>
      <c r="X113" s="45"/>
      <c r="Y113" s="45"/>
      <c r="Z113" s="45"/>
      <c r="AA113" s="45"/>
    </row>
    <row r="114" ht="24.75" customHeight="1">
      <c r="A114" s="44"/>
      <c r="B114" s="45"/>
      <c r="C114" s="45"/>
      <c r="D114" s="45"/>
      <c r="E114" s="44"/>
      <c r="F114" s="44"/>
      <c r="G114" s="45"/>
      <c r="H114" s="45"/>
      <c r="I114" s="45"/>
      <c r="J114" s="45"/>
      <c r="L114" s="45"/>
      <c r="M114" s="45"/>
      <c r="N114" s="45"/>
      <c r="O114" s="45"/>
      <c r="P114" s="45"/>
      <c r="Q114" s="45"/>
      <c r="R114" s="45"/>
      <c r="S114" s="45"/>
      <c r="T114" s="45"/>
      <c r="U114" s="45"/>
      <c r="V114" s="45"/>
      <c r="W114" s="45"/>
      <c r="X114" s="45"/>
      <c r="Y114" s="45"/>
      <c r="Z114" s="45"/>
      <c r="AA114" s="45"/>
    </row>
    <row r="115" ht="24.75" customHeight="1">
      <c r="A115" s="44"/>
      <c r="B115" s="45"/>
      <c r="C115" s="45"/>
      <c r="D115" s="45"/>
      <c r="E115" s="44"/>
      <c r="F115" s="44"/>
      <c r="G115" s="45"/>
      <c r="H115" s="45"/>
      <c r="I115" s="45"/>
      <c r="J115" s="45"/>
      <c r="L115" s="45"/>
      <c r="M115" s="45"/>
      <c r="N115" s="45"/>
      <c r="O115" s="45"/>
      <c r="P115" s="45"/>
      <c r="Q115" s="45"/>
      <c r="R115" s="45"/>
      <c r="S115" s="45"/>
      <c r="T115" s="45"/>
      <c r="U115" s="45"/>
      <c r="V115" s="45"/>
      <c r="W115" s="45"/>
      <c r="X115" s="45"/>
      <c r="Y115" s="45"/>
      <c r="Z115" s="45"/>
      <c r="AA115" s="45"/>
    </row>
    <row r="116" ht="24.75" customHeight="1">
      <c r="A116" s="44"/>
      <c r="B116" s="45"/>
      <c r="C116" s="45"/>
      <c r="D116" s="45"/>
      <c r="E116" s="44"/>
      <c r="F116" s="44"/>
      <c r="G116" s="45"/>
      <c r="H116" s="45"/>
      <c r="I116" s="45"/>
      <c r="J116" s="45"/>
      <c r="L116" s="45"/>
      <c r="M116" s="45"/>
      <c r="N116" s="45"/>
      <c r="O116" s="45"/>
      <c r="P116" s="45"/>
      <c r="Q116" s="45"/>
      <c r="R116" s="45"/>
      <c r="S116" s="45"/>
      <c r="T116" s="45"/>
      <c r="U116" s="45"/>
      <c r="V116" s="45"/>
      <c r="W116" s="45"/>
      <c r="X116" s="45"/>
      <c r="Y116" s="45"/>
      <c r="Z116" s="45"/>
      <c r="AA116" s="45"/>
    </row>
    <row r="117" ht="24.75" customHeight="1">
      <c r="A117" s="44"/>
      <c r="B117" s="45"/>
      <c r="C117" s="45"/>
      <c r="D117" s="45"/>
      <c r="E117" s="44"/>
      <c r="F117" s="44"/>
      <c r="G117" s="45"/>
      <c r="H117" s="45"/>
      <c r="I117" s="45"/>
      <c r="J117" s="45"/>
      <c r="L117" s="45"/>
      <c r="M117" s="45"/>
      <c r="N117" s="45"/>
      <c r="O117" s="45"/>
      <c r="P117" s="45"/>
      <c r="Q117" s="45"/>
      <c r="R117" s="45"/>
      <c r="S117" s="45"/>
      <c r="T117" s="45"/>
      <c r="U117" s="45"/>
      <c r="V117" s="45"/>
      <c r="W117" s="45"/>
      <c r="X117" s="45"/>
      <c r="Y117" s="45"/>
      <c r="Z117" s="45"/>
      <c r="AA117" s="45"/>
    </row>
    <row r="118" ht="24.75" customHeight="1">
      <c r="A118" s="44"/>
      <c r="B118" s="45"/>
      <c r="C118" s="45"/>
      <c r="D118" s="45"/>
      <c r="E118" s="44"/>
      <c r="F118" s="44"/>
      <c r="G118" s="45"/>
      <c r="H118" s="45"/>
      <c r="I118" s="45"/>
      <c r="J118" s="45"/>
      <c r="L118" s="45"/>
      <c r="M118" s="45"/>
      <c r="N118" s="45"/>
      <c r="O118" s="45"/>
      <c r="P118" s="45"/>
      <c r="Q118" s="45"/>
      <c r="R118" s="45"/>
      <c r="S118" s="45"/>
      <c r="T118" s="45"/>
      <c r="U118" s="45"/>
      <c r="V118" s="45"/>
      <c r="W118" s="45"/>
      <c r="X118" s="45"/>
      <c r="Y118" s="45"/>
      <c r="Z118" s="45"/>
      <c r="AA118" s="45"/>
    </row>
    <row r="119" ht="24.75" customHeight="1">
      <c r="A119" s="44"/>
      <c r="B119" s="45"/>
      <c r="C119" s="45"/>
      <c r="D119" s="45"/>
      <c r="E119" s="44"/>
      <c r="F119" s="44"/>
      <c r="G119" s="45"/>
      <c r="H119" s="45"/>
      <c r="I119" s="45"/>
      <c r="J119" s="45"/>
      <c r="L119" s="45"/>
      <c r="M119" s="45"/>
      <c r="N119" s="45"/>
      <c r="O119" s="45"/>
      <c r="P119" s="45"/>
      <c r="Q119" s="45"/>
      <c r="R119" s="45"/>
      <c r="S119" s="45"/>
      <c r="T119" s="45"/>
      <c r="U119" s="45"/>
      <c r="V119" s="45"/>
      <c r="W119" s="45"/>
      <c r="X119" s="45"/>
      <c r="Y119" s="45"/>
      <c r="Z119" s="45"/>
      <c r="AA119" s="45"/>
    </row>
    <row r="120" ht="24.75" customHeight="1">
      <c r="A120" s="44"/>
      <c r="B120" s="45"/>
      <c r="C120" s="45"/>
      <c r="D120" s="45"/>
      <c r="E120" s="44"/>
      <c r="F120" s="44"/>
      <c r="G120" s="45"/>
      <c r="H120" s="45"/>
      <c r="I120" s="45"/>
      <c r="J120" s="45"/>
      <c r="L120" s="45"/>
      <c r="M120" s="45"/>
      <c r="N120" s="45"/>
      <c r="O120" s="45"/>
      <c r="P120" s="45"/>
      <c r="Q120" s="45"/>
      <c r="R120" s="45"/>
      <c r="S120" s="45"/>
      <c r="T120" s="45"/>
      <c r="U120" s="45"/>
      <c r="V120" s="45"/>
      <c r="W120" s="45"/>
      <c r="X120" s="45"/>
      <c r="Y120" s="45"/>
      <c r="Z120" s="45"/>
      <c r="AA120" s="45"/>
    </row>
    <row r="121" ht="24.75" customHeight="1">
      <c r="A121" s="44"/>
      <c r="B121" s="45"/>
      <c r="C121" s="45"/>
      <c r="D121" s="45"/>
      <c r="E121" s="44"/>
      <c r="F121" s="44"/>
      <c r="G121" s="45"/>
      <c r="H121" s="45"/>
      <c r="I121" s="45"/>
      <c r="J121" s="45"/>
      <c r="L121" s="45"/>
      <c r="M121" s="45"/>
      <c r="N121" s="45"/>
      <c r="O121" s="45"/>
      <c r="P121" s="45"/>
      <c r="Q121" s="45"/>
      <c r="R121" s="45"/>
      <c r="S121" s="45"/>
      <c r="T121" s="45"/>
      <c r="U121" s="45"/>
      <c r="V121" s="45"/>
      <c r="W121" s="45"/>
      <c r="X121" s="45"/>
      <c r="Y121" s="45"/>
      <c r="Z121" s="45"/>
      <c r="AA121" s="45"/>
    </row>
    <row r="122" ht="24.75" customHeight="1">
      <c r="A122" s="44"/>
      <c r="B122" s="45"/>
      <c r="C122" s="45"/>
      <c r="D122" s="45"/>
      <c r="E122" s="44"/>
      <c r="F122" s="44"/>
      <c r="G122" s="45"/>
      <c r="H122" s="45"/>
      <c r="I122" s="45"/>
      <c r="J122" s="45"/>
      <c r="L122" s="45"/>
      <c r="M122" s="45"/>
      <c r="N122" s="45"/>
      <c r="O122" s="45"/>
      <c r="P122" s="45"/>
      <c r="Q122" s="45"/>
      <c r="R122" s="45"/>
      <c r="S122" s="45"/>
      <c r="T122" s="45"/>
      <c r="U122" s="45"/>
      <c r="V122" s="45"/>
      <c r="W122" s="45"/>
      <c r="X122" s="45"/>
      <c r="Y122" s="45"/>
      <c r="Z122" s="45"/>
      <c r="AA122" s="45"/>
    </row>
    <row r="123" ht="24.75" customHeight="1">
      <c r="A123" s="44"/>
      <c r="B123" s="45"/>
      <c r="C123" s="45"/>
      <c r="D123" s="45"/>
      <c r="E123" s="44"/>
      <c r="F123" s="44"/>
      <c r="G123" s="45"/>
      <c r="H123" s="45"/>
      <c r="I123" s="45"/>
      <c r="J123" s="45"/>
      <c r="L123" s="45"/>
      <c r="M123" s="45"/>
      <c r="N123" s="45"/>
      <c r="O123" s="45"/>
      <c r="P123" s="45"/>
      <c r="Q123" s="45"/>
      <c r="R123" s="45"/>
      <c r="S123" s="45"/>
      <c r="T123" s="45"/>
      <c r="U123" s="45"/>
      <c r="V123" s="45"/>
      <c r="W123" s="45"/>
      <c r="X123" s="45"/>
      <c r="Y123" s="45"/>
      <c r="Z123" s="45"/>
      <c r="AA123" s="45"/>
    </row>
    <row r="124" ht="24.75" customHeight="1">
      <c r="A124" s="44"/>
      <c r="B124" s="45"/>
      <c r="C124" s="45"/>
      <c r="D124" s="45"/>
      <c r="E124" s="44"/>
      <c r="F124" s="44"/>
      <c r="G124" s="45"/>
      <c r="H124" s="45"/>
      <c r="I124" s="45"/>
      <c r="J124" s="45"/>
      <c r="L124" s="45"/>
      <c r="M124" s="45"/>
      <c r="N124" s="45"/>
      <c r="O124" s="45"/>
      <c r="P124" s="45"/>
      <c r="Q124" s="45"/>
      <c r="R124" s="45"/>
      <c r="S124" s="45"/>
      <c r="T124" s="45"/>
      <c r="U124" s="45"/>
      <c r="V124" s="45"/>
      <c r="W124" s="45"/>
      <c r="X124" s="45"/>
      <c r="Y124" s="45"/>
      <c r="Z124" s="45"/>
      <c r="AA124" s="45"/>
    </row>
    <row r="125" ht="24.75" customHeight="1">
      <c r="A125" s="44"/>
      <c r="B125" s="45"/>
      <c r="C125" s="45"/>
      <c r="D125" s="45"/>
      <c r="E125" s="44"/>
      <c r="F125" s="44"/>
      <c r="G125" s="45"/>
      <c r="H125" s="45"/>
      <c r="I125" s="45"/>
      <c r="J125" s="45"/>
      <c r="L125" s="45"/>
      <c r="M125" s="45"/>
      <c r="N125" s="45"/>
      <c r="O125" s="45"/>
      <c r="P125" s="45"/>
      <c r="Q125" s="45"/>
      <c r="R125" s="45"/>
      <c r="S125" s="45"/>
      <c r="T125" s="45"/>
      <c r="U125" s="45"/>
      <c r="V125" s="45"/>
      <c r="W125" s="45"/>
      <c r="X125" s="45"/>
      <c r="Y125" s="45"/>
      <c r="Z125" s="45"/>
      <c r="AA125" s="45"/>
    </row>
    <row r="126" ht="24.75" customHeight="1">
      <c r="A126" s="44"/>
      <c r="B126" s="45"/>
      <c r="C126" s="45"/>
      <c r="D126" s="45"/>
      <c r="E126" s="44"/>
      <c r="F126" s="44"/>
      <c r="G126" s="45"/>
      <c r="H126" s="45"/>
      <c r="I126" s="45"/>
      <c r="J126" s="45"/>
      <c r="L126" s="45"/>
      <c r="M126" s="45"/>
      <c r="N126" s="45"/>
      <c r="O126" s="45"/>
      <c r="P126" s="45"/>
      <c r="Q126" s="45"/>
      <c r="R126" s="45"/>
      <c r="S126" s="45"/>
      <c r="T126" s="45"/>
      <c r="U126" s="45"/>
      <c r="V126" s="45"/>
      <c r="W126" s="45"/>
      <c r="X126" s="45"/>
      <c r="Y126" s="45"/>
      <c r="Z126" s="45"/>
      <c r="AA126" s="45"/>
    </row>
    <row r="127" ht="24.75" customHeight="1">
      <c r="A127" s="44"/>
      <c r="B127" s="45"/>
      <c r="C127" s="45"/>
      <c r="D127" s="45"/>
      <c r="E127" s="44"/>
      <c r="F127" s="44"/>
      <c r="G127" s="45"/>
      <c r="H127" s="45"/>
      <c r="I127" s="45"/>
      <c r="J127" s="45"/>
      <c r="L127" s="45"/>
      <c r="M127" s="45"/>
      <c r="N127" s="45"/>
      <c r="O127" s="45"/>
      <c r="P127" s="45"/>
      <c r="Q127" s="45"/>
      <c r="R127" s="45"/>
      <c r="S127" s="45"/>
      <c r="T127" s="45"/>
      <c r="U127" s="45"/>
      <c r="V127" s="45"/>
      <c r="W127" s="45"/>
      <c r="X127" s="45"/>
      <c r="Y127" s="45"/>
      <c r="Z127" s="45"/>
      <c r="AA127" s="45"/>
    </row>
    <row r="128" ht="24.75" customHeight="1">
      <c r="A128" s="44"/>
      <c r="B128" s="45"/>
      <c r="C128" s="45"/>
      <c r="D128" s="45"/>
      <c r="E128" s="44"/>
      <c r="F128" s="44"/>
      <c r="G128" s="45"/>
      <c r="H128" s="45"/>
      <c r="I128" s="45"/>
      <c r="J128" s="45"/>
      <c r="L128" s="45"/>
      <c r="M128" s="45"/>
      <c r="N128" s="45"/>
      <c r="O128" s="45"/>
      <c r="P128" s="45"/>
      <c r="Q128" s="45"/>
      <c r="R128" s="45"/>
      <c r="S128" s="45"/>
      <c r="T128" s="45"/>
      <c r="U128" s="45"/>
      <c r="V128" s="45"/>
      <c r="W128" s="45"/>
      <c r="X128" s="45"/>
      <c r="Y128" s="45"/>
      <c r="Z128" s="45"/>
      <c r="AA128" s="45"/>
    </row>
    <row r="129" ht="24.75" customHeight="1">
      <c r="A129" s="44"/>
      <c r="B129" s="45"/>
      <c r="C129" s="45"/>
      <c r="D129" s="45"/>
      <c r="E129" s="44"/>
      <c r="F129" s="44"/>
      <c r="G129" s="45"/>
      <c r="H129" s="45"/>
      <c r="I129" s="45"/>
      <c r="J129" s="45"/>
      <c r="L129" s="45"/>
      <c r="M129" s="45"/>
      <c r="N129" s="45"/>
      <c r="O129" s="45"/>
      <c r="P129" s="45"/>
      <c r="Q129" s="45"/>
      <c r="R129" s="45"/>
      <c r="S129" s="45"/>
      <c r="T129" s="45"/>
      <c r="U129" s="45"/>
      <c r="V129" s="45"/>
      <c r="W129" s="45"/>
      <c r="X129" s="45"/>
      <c r="Y129" s="45"/>
      <c r="Z129" s="45"/>
      <c r="AA129" s="45"/>
    </row>
    <row r="130" ht="24.75" customHeight="1">
      <c r="A130" s="44"/>
      <c r="B130" s="45"/>
      <c r="C130" s="45"/>
      <c r="D130" s="45"/>
      <c r="E130" s="44"/>
      <c r="F130" s="44"/>
      <c r="G130" s="45"/>
      <c r="H130" s="45"/>
      <c r="I130" s="45"/>
      <c r="J130" s="45"/>
      <c r="L130" s="45"/>
      <c r="M130" s="45"/>
      <c r="N130" s="45"/>
      <c r="O130" s="45"/>
      <c r="P130" s="45"/>
      <c r="Q130" s="45"/>
      <c r="R130" s="45"/>
      <c r="S130" s="45"/>
      <c r="T130" s="45"/>
      <c r="U130" s="45"/>
      <c r="V130" s="45"/>
      <c r="W130" s="45"/>
      <c r="X130" s="45"/>
      <c r="Y130" s="45"/>
      <c r="Z130" s="45"/>
      <c r="AA130" s="45"/>
    </row>
    <row r="131" ht="24.75" customHeight="1">
      <c r="A131" s="44"/>
      <c r="B131" s="45"/>
      <c r="C131" s="45"/>
      <c r="D131" s="45"/>
      <c r="E131" s="44"/>
      <c r="F131" s="44"/>
      <c r="G131" s="45"/>
      <c r="H131" s="45"/>
      <c r="I131" s="45"/>
      <c r="J131" s="45"/>
      <c r="L131" s="45"/>
      <c r="M131" s="45"/>
      <c r="N131" s="45"/>
      <c r="O131" s="45"/>
      <c r="P131" s="45"/>
      <c r="Q131" s="45"/>
      <c r="R131" s="45"/>
      <c r="S131" s="45"/>
      <c r="T131" s="45"/>
      <c r="U131" s="45"/>
      <c r="V131" s="45"/>
      <c r="W131" s="45"/>
      <c r="X131" s="45"/>
      <c r="Y131" s="45"/>
      <c r="Z131" s="45"/>
      <c r="AA131" s="45"/>
    </row>
    <row r="132" ht="24.75" customHeight="1">
      <c r="A132" s="44"/>
      <c r="B132" s="45"/>
      <c r="C132" s="45"/>
      <c r="D132" s="45"/>
      <c r="E132" s="44"/>
      <c r="F132" s="44"/>
      <c r="G132" s="45"/>
      <c r="H132" s="45"/>
      <c r="I132" s="45"/>
      <c r="J132" s="45"/>
      <c r="L132" s="45"/>
      <c r="M132" s="45"/>
      <c r="N132" s="45"/>
      <c r="O132" s="45"/>
      <c r="P132" s="45"/>
      <c r="Q132" s="45"/>
      <c r="R132" s="45"/>
      <c r="S132" s="45"/>
      <c r="T132" s="45"/>
      <c r="U132" s="45"/>
      <c r="V132" s="45"/>
      <c r="W132" s="45"/>
      <c r="X132" s="45"/>
      <c r="Y132" s="45"/>
      <c r="Z132" s="45"/>
      <c r="AA132" s="45"/>
    </row>
    <row r="133" ht="24.75" customHeight="1">
      <c r="A133" s="44"/>
      <c r="B133" s="45"/>
      <c r="C133" s="45"/>
      <c r="D133" s="45"/>
      <c r="E133" s="44"/>
      <c r="F133" s="44"/>
      <c r="G133" s="45"/>
      <c r="H133" s="45"/>
      <c r="I133" s="45"/>
      <c r="J133" s="45"/>
      <c r="L133" s="45"/>
      <c r="M133" s="45"/>
      <c r="N133" s="45"/>
      <c r="O133" s="45"/>
      <c r="P133" s="45"/>
      <c r="Q133" s="45"/>
      <c r="R133" s="45"/>
      <c r="S133" s="45"/>
      <c r="T133" s="45"/>
      <c r="U133" s="45"/>
      <c r="V133" s="45"/>
      <c r="W133" s="45"/>
      <c r="X133" s="45"/>
      <c r="Y133" s="45"/>
      <c r="Z133" s="45"/>
      <c r="AA133" s="45"/>
    </row>
    <row r="134" ht="24.75" customHeight="1">
      <c r="A134" s="44"/>
      <c r="B134" s="45"/>
      <c r="C134" s="45"/>
      <c r="D134" s="45"/>
      <c r="E134" s="44"/>
      <c r="F134" s="44"/>
      <c r="G134" s="45"/>
      <c r="H134" s="45"/>
      <c r="I134" s="45"/>
      <c r="J134" s="45"/>
      <c r="L134" s="45"/>
      <c r="M134" s="45"/>
      <c r="N134" s="45"/>
      <c r="O134" s="45"/>
      <c r="P134" s="45"/>
      <c r="Q134" s="45"/>
      <c r="R134" s="45"/>
      <c r="S134" s="45"/>
      <c r="T134" s="45"/>
      <c r="U134" s="45"/>
      <c r="V134" s="45"/>
      <c r="W134" s="45"/>
      <c r="X134" s="45"/>
      <c r="Y134" s="45"/>
      <c r="Z134" s="45"/>
      <c r="AA134" s="45"/>
    </row>
    <row r="135" ht="24.75" customHeight="1">
      <c r="A135" s="44"/>
      <c r="B135" s="45"/>
      <c r="C135" s="45"/>
      <c r="D135" s="45"/>
      <c r="E135" s="44"/>
      <c r="F135" s="44"/>
      <c r="G135" s="45"/>
      <c r="H135" s="45"/>
      <c r="I135" s="45"/>
      <c r="J135" s="45"/>
      <c r="L135" s="45"/>
      <c r="M135" s="45"/>
      <c r="N135" s="45"/>
      <c r="O135" s="45"/>
      <c r="P135" s="45"/>
      <c r="Q135" s="45"/>
      <c r="R135" s="45"/>
      <c r="S135" s="45"/>
      <c r="T135" s="45"/>
      <c r="U135" s="45"/>
      <c r="V135" s="45"/>
      <c r="W135" s="45"/>
      <c r="X135" s="45"/>
      <c r="Y135" s="45"/>
      <c r="Z135" s="45"/>
      <c r="AA135" s="45"/>
    </row>
    <row r="136" ht="24.75" customHeight="1">
      <c r="A136" s="44"/>
      <c r="B136" s="45"/>
      <c r="C136" s="45"/>
      <c r="D136" s="45"/>
      <c r="E136" s="44"/>
      <c r="F136" s="44"/>
      <c r="G136" s="45"/>
      <c r="H136" s="45"/>
      <c r="I136" s="45"/>
      <c r="J136" s="45"/>
      <c r="L136" s="45"/>
      <c r="M136" s="45"/>
      <c r="N136" s="45"/>
      <c r="O136" s="45"/>
      <c r="P136" s="45"/>
      <c r="Q136" s="45"/>
      <c r="R136" s="45"/>
      <c r="S136" s="45"/>
      <c r="T136" s="45"/>
      <c r="U136" s="45"/>
      <c r="V136" s="45"/>
      <c r="W136" s="45"/>
      <c r="X136" s="45"/>
      <c r="Y136" s="45"/>
      <c r="Z136" s="45"/>
      <c r="AA136" s="45"/>
    </row>
    <row r="137" ht="24.75" customHeight="1">
      <c r="A137" s="44"/>
      <c r="B137" s="45"/>
      <c r="C137" s="45"/>
      <c r="D137" s="45"/>
      <c r="E137" s="44"/>
      <c r="F137" s="44"/>
      <c r="G137" s="45"/>
      <c r="H137" s="45"/>
      <c r="I137" s="45"/>
      <c r="J137" s="45"/>
      <c r="L137" s="45"/>
      <c r="M137" s="45"/>
      <c r="N137" s="45"/>
      <c r="O137" s="45"/>
      <c r="P137" s="45"/>
      <c r="Q137" s="45"/>
      <c r="R137" s="45"/>
      <c r="S137" s="45"/>
      <c r="T137" s="45"/>
      <c r="U137" s="45"/>
      <c r="V137" s="45"/>
      <c r="W137" s="45"/>
      <c r="X137" s="45"/>
      <c r="Y137" s="45"/>
      <c r="Z137" s="45"/>
      <c r="AA137" s="45"/>
    </row>
    <row r="138" ht="24.75" customHeight="1">
      <c r="A138" s="44"/>
      <c r="B138" s="45"/>
      <c r="C138" s="45"/>
      <c r="D138" s="45"/>
      <c r="E138" s="44"/>
      <c r="F138" s="44"/>
      <c r="G138" s="45"/>
      <c r="H138" s="45"/>
      <c r="I138" s="45"/>
      <c r="J138" s="45"/>
      <c r="L138" s="45"/>
      <c r="M138" s="45"/>
      <c r="N138" s="45"/>
      <c r="O138" s="45"/>
      <c r="P138" s="45"/>
      <c r="Q138" s="45"/>
      <c r="R138" s="45"/>
      <c r="S138" s="45"/>
      <c r="T138" s="45"/>
      <c r="U138" s="45"/>
      <c r="V138" s="45"/>
      <c r="W138" s="45"/>
      <c r="X138" s="45"/>
      <c r="Y138" s="45"/>
      <c r="Z138" s="45"/>
      <c r="AA138" s="45"/>
    </row>
    <row r="139" ht="24.75" customHeight="1">
      <c r="A139" s="44"/>
      <c r="B139" s="45"/>
      <c r="C139" s="45"/>
      <c r="D139" s="45"/>
      <c r="E139" s="44"/>
      <c r="F139" s="44"/>
      <c r="G139" s="45"/>
      <c r="H139" s="45"/>
      <c r="I139" s="45"/>
      <c r="J139" s="45"/>
      <c r="L139" s="45"/>
      <c r="M139" s="45"/>
      <c r="N139" s="45"/>
      <c r="O139" s="45"/>
      <c r="P139" s="45"/>
      <c r="Q139" s="45"/>
      <c r="R139" s="45"/>
      <c r="S139" s="45"/>
      <c r="T139" s="45"/>
      <c r="U139" s="45"/>
      <c r="V139" s="45"/>
      <c r="W139" s="45"/>
      <c r="X139" s="45"/>
      <c r="Y139" s="45"/>
      <c r="Z139" s="45"/>
      <c r="AA139" s="45"/>
    </row>
    <row r="140" ht="24.75" customHeight="1">
      <c r="A140" s="44"/>
      <c r="B140" s="45"/>
      <c r="C140" s="45"/>
      <c r="D140" s="45"/>
      <c r="E140" s="44"/>
      <c r="F140" s="44"/>
      <c r="G140" s="45"/>
      <c r="H140" s="45"/>
      <c r="I140" s="45"/>
      <c r="J140" s="45"/>
      <c r="L140" s="45"/>
      <c r="M140" s="45"/>
      <c r="N140" s="45"/>
      <c r="O140" s="45"/>
      <c r="P140" s="45"/>
      <c r="Q140" s="45"/>
      <c r="R140" s="45"/>
      <c r="S140" s="45"/>
      <c r="T140" s="45"/>
      <c r="U140" s="45"/>
      <c r="V140" s="45"/>
      <c r="W140" s="45"/>
      <c r="X140" s="45"/>
      <c r="Y140" s="45"/>
      <c r="Z140" s="45"/>
      <c r="AA140" s="45"/>
    </row>
    <row r="141" ht="24.75" customHeight="1">
      <c r="A141" s="44"/>
      <c r="B141" s="45"/>
      <c r="C141" s="45"/>
      <c r="D141" s="45"/>
      <c r="E141" s="44"/>
      <c r="F141" s="44"/>
      <c r="G141" s="45"/>
      <c r="H141" s="45"/>
      <c r="I141" s="45"/>
      <c r="J141" s="45"/>
      <c r="L141" s="45"/>
      <c r="M141" s="45"/>
      <c r="N141" s="45"/>
      <c r="O141" s="45"/>
      <c r="P141" s="45"/>
      <c r="Q141" s="45"/>
      <c r="R141" s="45"/>
      <c r="S141" s="45"/>
      <c r="T141" s="45"/>
      <c r="U141" s="45"/>
      <c r="V141" s="45"/>
      <c r="W141" s="45"/>
      <c r="X141" s="45"/>
      <c r="Y141" s="45"/>
      <c r="Z141" s="45"/>
      <c r="AA141" s="45"/>
    </row>
    <row r="142" ht="24.75" customHeight="1">
      <c r="A142" s="44"/>
      <c r="B142" s="45"/>
      <c r="C142" s="45"/>
      <c r="D142" s="45"/>
      <c r="E142" s="44"/>
      <c r="F142" s="44"/>
      <c r="G142" s="45"/>
      <c r="H142" s="45"/>
      <c r="I142" s="45"/>
      <c r="J142" s="45"/>
      <c r="L142" s="45"/>
      <c r="M142" s="45"/>
      <c r="N142" s="45"/>
      <c r="O142" s="45"/>
      <c r="P142" s="45"/>
      <c r="Q142" s="45"/>
      <c r="R142" s="45"/>
      <c r="S142" s="45"/>
      <c r="T142" s="45"/>
      <c r="U142" s="45"/>
      <c r="V142" s="45"/>
      <c r="W142" s="45"/>
      <c r="X142" s="45"/>
      <c r="Y142" s="45"/>
      <c r="Z142" s="45"/>
      <c r="AA142" s="45"/>
    </row>
    <row r="143" ht="24.75" customHeight="1">
      <c r="A143" s="44"/>
      <c r="B143" s="45"/>
      <c r="C143" s="45"/>
      <c r="D143" s="45"/>
      <c r="E143" s="44"/>
      <c r="F143" s="44"/>
      <c r="G143" s="45"/>
      <c r="H143" s="45"/>
      <c r="I143" s="45"/>
      <c r="J143" s="45"/>
      <c r="L143" s="45"/>
      <c r="M143" s="45"/>
      <c r="N143" s="45"/>
      <c r="O143" s="45"/>
      <c r="P143" s="45"/>
      <c r="Q143" s="45"/>
      <c r="R143" s="45"/>
      <c r="S143" s="45"/>
      <c r="T143" s="45"/>
      <c r="U143" s="45"/>
      <c r="V143" s="45"/>
      <c r="W143" s="45"/>
      <c r="X143" s="45"/>
      <c r="Y143" s="45"/>
      <c r="Z143" s="45"/>
      <c r="AA143" s="45"/>
    </row>
    <row r="144" ht="24.75" customHeight="1">
      <c r="A144" s="44"/>
      <c r="B144" s="45"/>
      <c r="C144" s="45"/>
      <c r="D144" s="45"/>
      <c r="E144" s="44"/>
      <c r="F144" s="44"/>
      <c r="G144" s="45"/>
      <c r="H144" s="45"/>
      <c r="I144" s="45"/>
      <c r="J144" s="45"/>
      <c r="L144" s="45"/>
      <c r="M144" s="45"/>
      <c r="N144" s="45"/>
      <c r="O144" s="45"/>
      <c r="P144" s="45"/>
      <c r="Q144" s="45"/>
      <c r="R144" s="45"/>
      <c r="S144" s="45"/>
      <c r="T144" s="45"/>
      <c r="U144" s="45"/>
      <c r="V144" s="45"/>
      <c r="W144" s="45"/>
      <c r="X144" s="45"/>
      <c r="Y144" s="45"/>
      <c r="Z144" s="45"/>
      <c r="AA144" s="45"/>
    </row>
    <row r="145" ht="24.75" customHeight="1">
      <c r="A145" s="44"/>
      <c r="B145" s="45"/>
      <c r="C145" s="45"/>
      <c r="D145" s="45"/>
      <c r="E145" s="44"/>
      <c r="F145" s="44"/>
      <c r="G145" s="45"/>
      <c r="H145" s="45"/>
      <c r="I145" s="45"/>
      <c r="J145" s="45"/>
      <c r="L145" s="45"/>
      <c r="M145" s="45"/>
      <c r="N145" s="45"/>
      <c r="O145" s="45"/>
      <c r="P145" s="45"/>
      <c r="Q145" s="45"/>
      <c r="R145" s="45"/>
      <c r="S145" s="45"/>
      <c r="T145" s="45"/>
      <c r="U145" s="45"/>
      <c r="V145" s="45"/>
      <c r="W145" s="45"/>
      <c r="X145" s="45"/>
      <c r="Y145" s="45"/>
      <c r="Z145" s="45"/>
      <c r="AA145" s="45"/>
    </row>
    <row r="146" ht="24.75" customHeight="1">
      <c r="A146" s="44"/>
      <c r="B146" s="45"/>
      <c r="C146" s="45"/>
      <c r="D146" s="45"/>
      <c r="E146" s="44"/>
      <c r="F146" s="44"/>
      <c r="G146" s="45"/>
      <c r="H146" s="45"/>
      <c r="I146" s="45"/>
      <c r="J146" s="45"/>
      <c r="L146" s="45"/>
      <c r="M146" s="45"/>
      <c r="N146" s="45"/>
      <c r="O146" s="45"/>
      <c r="P146" s="45"/>
      <c r="Q146" s="45"/>
      <c r="R146" s="45"/>
      <c r="S146" s="45"/>
      <c r="T146" s="45"/>
      <c r="U146" s="45"/>
      <c r="V146" s="45"/>
      <c r="W146" s="45"/>
      <c r="X146" s="45"/>
      <c r="Y146" s="45"/>
      <c r="Z146" s="45"/>
      <c r="AA146" s="45"/>
    </row>
    <row r="147" ht="24.75" customHeight="1">
      <c r="A147" s="44"/>
      <c r="B147" s="45"/>
      <c r="C147" s="45"/>
      <c r="D147" s="45"/>
      <c r="E147" s="44"/>
      <c r="F147" s="44"/>
      <c r="G147" s="45"/>
      <c r="H147" s="45"/>
      <c r="I147" s="45"/>
      <c r="J147" s="45"/>
      <c r="L147" s="45"/>
      <c r="M147" s="45"/>
      <c r="N147" s="45"/>
      <c r="O147" s="45"/>
      <c r="P147" s="45"/>
      <c r="Q147" s="45"/>
      <c r="R147" s="45"/>
      <c r="S147" s="45"/>
      <c r="T147" s="45"/>
      <c r="U147" s="45"/>
      <c r="V147" s="45"/>
      <c r="W147" s="45"/>
      <c r="X147" s="45"/>
      <c r="Y147" s="45"/>
      <c r="Z147" s="45"/>
      <c r="AA147" s="45"/>
    </row>
    <row r="148" ht="24.75" customHeight="1">
      <c r="A148" s="44"/>
      <c r="B148" s="45"/>
      <c r="C148" s="45"/>
      <c r="D148" s="45"/>
      <c r="E148" s="44"/>
      <c r="F148" s="44"/>
      <c r="G148" s="45"/>
      <c r="H148" s="45"/>
      <c r="I148" s="45"/>
      <c r="J148" s="45"/>
      <c r="L148" s="45"/>
      <c r="M148" s="45"/>
      <c r="N148" s="45"/>
      <c r="O148" s="45"/>
      <c r="P148" s="45"/>
      <c r="Q148" s="45"/>
      <c r="R148" s="45"/>
      <c r="S148" s="45"/>
      <c r="T148" s="45"/>
      <c r="U148" s="45"/>
      <c r="V148" s="45"/>
      <c r="W148" s="45"/>
      <c r="X148" s="45"/>
      <c r="Y148" s="45"/>
      <c r="Z148" s="45"/>
      <c r="AA148" s="45"/>
    </row>
    <row r="149" ht="24.75" customHeight="1">
      <c r="A149" s="44"/>
      <c r="B149" s="45"/>
      <c r="C149" s="45"/>
      <c r="D149" s="45"/>
      <c r="E149" s="44"/>
      <c r="F149" s="44"/>
      <c r="G149" s="45"/>
      <c r="H149" s="45"/>
      <c r="I149" s="45"/>
      <c r="J149" s="45"/>
      <c r="L149" s="45"/>
      <c r="M149" s="45"/>
      <c r="N149" s="45"/>
      <c r="O149" s="45"/>
      <c r="P149" s="45"/>
      <c r="Q149" s="45"/>
      <c r="R149" s="45"/>
      <c r="S149" s="45"/>
      <c r="T149" s="45"/>
      <c r="U149" s="45"/>
      <c r="V149" s="45"/>
      <c r="W149" s="45"/>
      <c r="X149" s="45"/>
      <c r="Y149" s="45"/>
      <c r="Z149" s="45"/>
      <c r="AA149" s="45"/>
    </row>
    <row r="150" ht="24.75" customHeight="1">
      <c r="A150" s="44"/>
      <c r="B150" s="45"/>
      <c r="C150" s="45"/>
      <c r="D150" s="45"/>
      <c r="E150" s="44"/>
      <c r="F150" s="44"/>
      <c r="G150" s="45"/>
      <c r="H150" s="45"/>
      <c r="I150" s="45"/>
      <c r="J150" s="45"/>
      <c r="L150" s="45"/>
      <c r="M150" s="45"/>
      <c r="N150" s="45"/>
      <c r="O150" s="45"/>
      <c r="P150" s="45"/>
      <c r="Q150" s="45"/>
      <c r="R150" s="45"/>
      <c r="S150" s="45"/>
      <c r="T150" s="45"/>
      <c r="U150" s="45"/>
      <c r="V150" s="45"/>
      <c r="W150" s="45"/>
      <c r="X150" s="45"/>
      <c r="Y150" s="45"/>
      <c r="Z150" s="45"/>
      <c r="AA150" s="45"/>
    </row>
    <row r="151" ht="24.75" customHeight="1">
      <c r="A151" s="44"/>
      <c r="B151" s="45"/>
      <c r="C151" s="45"/>
      <c r="D151" s="45"/>
      <c r="E151" s="44"/>
      <c r="F151" s="44"/>
      <c r="G151" s="45"/>
      <c r="H151" s="45"/>
      <c r="I151" s="45"/>
      <c r="J151" s="45"/>
      <c r="L151" s="45"/>
      <c r="M151" s="45"/>
      <c r="N151" s="45"/>
      <c r="O151" s="45"/>
      <c r="P151" s="45"/>
      <c r="Q151" s="45"/>
      <c r="R151" s="45"/>
      <c r="S151" s="45"/>
      <c r="T151" s="45"/>
      <c r="U151" s="45"/>
      <c r="V151" s="45"/>
      <c r="W151" s="45"/>
      <c r="X151" s="45"/>
      <c r="Y151" s="45"/>
      <c r="Z151" s="45"/>
      <c r="AA151" s="45"/>
    </row>
    <row r="152" ht="24.75" customHeight="1">
      <c r="A152" s="44"/>
      <c r="B152" s="45"/>
      <c r="C152" s="45"/>
      <c r="D152" s="45"/>
      <c r="E152" s="44"/>
      <c r="F152" s="44"/>
      <c r="G152" s="45"/>
      <c r="H152" s="45"/>
      <c r="I152" s="45"/>
      <c r="J152" s="45"/>
      <c r="L152" s="45"/>
      <c r="M152" s="45"/>
      <c r="N152" s="45"/>
      <c r="O152" s="45"/>
      <c r="P152" s="45"/>
      <c r="Q152" s="45"/>
      <c r="R152" s="45"/>
      <c r="S152" s="45"/>
      <c r="T152" s="45"/>
      <c r="U152" s="45"/>
      <c r="V152" s="45"/>
      <c r="W152" s="45"/>
      <c r="X152" s="45"/>
      <c r="Y152" s="45"/>
      <c r="Z152" s="45"/>
      <c r="AA152" s="45"/>
    </row>
    <row r="153" ht="24.75" customHeight="1">
      <c r="A153" s="44"/>
      <c r="B153" s="45"/>
      <c r="C153" s="45"/>
      <c r="D153" s="45"/>
      <c r="E153" s="44"/>
      <c r="F153" s="44"/>
      <c r="G153" s="45"/>
      <c r="H153" s="45"/>
      <c r="I153" s="45"/>
      <c r="J153" s="45"/>
      <c r="L153" s="45"/>
      <c r="M153" s="45"/>
      <c r="N153" s="45"/>
      <c r="O153" s="45"/>
      <c r="P153" s="45"/>
      <c r="Q153" s="45"/>
      <c r="R153" s="45"/>
      <c r="S153" s="45"/>
      <c r="T153" s="45"/>
      <c r="U153" s="45"/>
      <c r="V153" s="45"/>
      <c r="W153" s="45"/>
      <c r="X153" s="45"/>
      <c r="Y153" s="45"/>
      <c r="Z153" s="45"/>
      <c r="AA153" s="45"/>
    </row>
    <row r="154" ht="24.75" customHeight="1">
      <c r="A154" s="44"/>
      <c r="B154" s="45"/>
      <c r="C154" s="45"/>
      <c r="D154" s="45"/>
      <c r="E154" s="44"/>
      <c r="F154" s="44"/>
      <c r="G154" s="45"/>
      <c r="H154" s="45"/>
      <c r="I154" s="45"/>
      <c r="J154" s="45"/>
      <c r="L154" s="45"/>
      <c r="M154" s="45"/>
      <c r="N154" s="45"/>
      <c r="O154" s="45"/>
      <c r="P154" s="45"/>
      <c r="Q154" s="45"/>
      <c r="R154" s="45"/>
      <c r="S154" s="45"/>
      <c r="T154" s="45"/>
      <c r="U154" s="45"/>
      <c r="V154" s="45"/>
      <c r="W154" s="45"/>
      <c r="X154" s="45"/>
      <c r="Y154" s="45"/>
      <c r="Z154" s="45"/>
      <c r="AA154" s="45"/>
    </row>
    <row r="155" ht="24.75" customHeight="1">
      <c r="A155" s="44"/>
      <c r="B155" s="45"/>
      <c r="C155" s="45"/>
      <c r="D155" s="45"/>
      <c r="E155" s="44"/>
      <c r="F155" s="44"/>
      <c r="G155" s="45"/>
      <c r="H155" s="45"/>
      <c r="I155" s="45"/>
      <c r="J155" s="45"/>
      <c r="L155" s="45"/>
      <c r="M155" s="45"/>
      <c r="N155" s="45"/>
      <c r="O155" s="45"/>
      <c r="P155" s="45"/>
      <c r="Q155" s="45"/>
      <c r="R155" s="45"/>
      <c r="S155" s="45"/>
      <c r="T155" s="45"/>
      <c r="U155" s="45"/>
      <c r="V155" s="45"/>
      <c r="W155" s="45"/>
      <c r="X155" s="45"/>
      <c r="Y155" s="45"/>
      <c r="Z155" s="45"/>
      <c r="AA155" s="45"/>
    </row>
    <row r="156" ht="24.75" customHeight="1">
      <c r="A156" s="44"/>
      <c r="B156" s="45"/>
      <c r="C156" s="45"/>
      <c r="D156" s="45"/>
      <c r="E156" s="44"/>
      <c r="F156" s="44"/>
      <c r="G156" s="45"/>
      <c r="H156" s="45"/>
      <c r="I156" s="45"/>
      <c r="J156" s="45"/>
      <c r="L156" s="45"/>
      <c r="M156" s="45"/>
      <c r="N156" s="45"/>
      <c r="O156" s="45"/>
      <c r="P156" s="45"/>
      <c r="Q156" s="45"/>
      <c r="R156" s="45"/>
      <c r="S156" s="45"/>
      <c r="T156" s="45"/>
      <c r="U156" s="45"/>
      <c r="V156" s="45"/>
      <c r="W156" s="45"/>
      <c r="X156" s="45"/>
      <c r="Y156" s="45"/>
      <c r="Z156" s="45"/>
      <c r="AA156" s="45"/>
    </row>
    <row r="157" ht="24.75" customHeight="1">
      <c r="A157" s="44"/>
      <c r="B157" s="45"/>
      <c r="C157" s="45"/>
      <c r="D157" s="45"/>
      <c r="E157" s="44"/>
      <c r="F157" s="44"/>
      <c r="G157" s="45"/>
      <c r="H157" s="45"/>
      <c r="I157" s="45"/>
      <c r="J157" s="45"/>
      <c r="L157" s="45"/>
      <c r="M157" s="45"/>
      <c r="N157" s="45"/>
      <c r="O157" s="45"/>
      <c r="P157" s="45"/>
      <c r="Q157" s="45"/>
      <c r="R157" s="45"/>
      <c r="S157" s="45"/>
      <c r="T157" s="45"/>
      <c r="U157" s="45"/>
      <c r="V157" s="45"/>
      <c r="W157" s="45"/>
      <c r="X157" s="45"/>
      <c r="Y157" s="45"/>
      <c r="Z157" s="45"/>
      <c r="AA157" s="45"/>
    </row>
    <row r="158" ht="24.75" customHeight="1">
      <c r="A158" s="44"/>
      <c r="B158" s="45"/>
      <c r="C158" s="45"/>
      <c r="D158" s="45"/>
      <c r="E158" s="44"/>
      <c r="F158" s="44"/>
      <c r="G158" s="45"/>
      <c r="H158" s="45"/>
      <c r="I158" s="45"/>
      <c r="J158" s="45"/>
      <c r="L158" s="45"/>
      <c r="M158" s="45"/>
      <c r="N158" s="45"/>
      <c r="O158" s="45"/>
      <c r="P158" s="45"/>
      <c r="Q158" s="45"/>
      <c r="R158" s="45"/>
      <c r="S158" s="45"/>
      <c r="T158" s="45"/>
      <c r="U158" s="45"/>
      <c r="V158" s="45"/>
      <c r="W158" s="45"/>
      <c r="X158" s="45"/>
      <c r="Y158" s="45"/>
      <c r="Z158" s="45"/>
      <c r="AA158" s="45"/>
    </row>
    <row r="159" ht="24.75" customHeight="1">
      <c r="A159" s="44"/>
      <c r="B159" s="45"/>
      <c r="C159" s="45"/>
      <c r="D159" s="45"/>
      <c r="E159" s="44"/>
      <c r="F159" s="44"/>
      <c r="G159" s="45"/>
      <c r="H159" s="45"/>
      <c r="I159" s="45"/>
      <c r="J159" s="45"/>
      <c r="L159" s="45"/>
      <c r="M159" s="45"/>
      <c r="N159" s="45"/>
      <c r="O159" s="45"/>
      <c r="P159" s="45"/>
      <c r="Q159" s="45"/>
      <c r="R159" s="45"/>
      <c r="S159" s="45"/>
      <c r="T159" s="45"/>
      <c r="U159" s="45"/>
      <c r="V159" s="45"/>
      <c r="W159" s="45"/>
      <c r="X159" s="45"/>
      <c r="Y159" s="45"/>
      <c r="Z159" s="45"/>
      <c r="AA159" s="45"/>
    </row>
    <row r="160" ht="24.75" customHeight="1">
      <c r="A160" s="44"/>
      <c r="B160" s="45"/>
      <c r="C160" s="45"/>
      <c r="D160" s="45"/>
      <c r="E160" s="44"/>
      <c r="F160" s="44"/>
      <c r="G160" s="45"/>
      <c r="H160" s="45"/>
      <c r="I160" s="45"/>
      <c r="J160" s="45"/>
      <c r="L160" s="45"/>
      <c r="M160" s="45"/>
      <c r="N160" s="45"/>
      <c r="O160" s="45"/>
      <c r="P160" s="45"/>
      <c r="Q160" s="45"/>
      <c r="R160" s="45"/>
      <c r="S160" s="45"/>
      <c r="T160" s="45"/>
      <c r="U160" s="45"/>
      <c r="V160" s="45"/>
      <c r="W160" s="45"/>
      <c r="X160" s="45"/>
      <c r="Y160" s="45"/>
      <c r="Z160" s="45"/>
      <c r="AA160" s="45"/>
    </row>
    <row r="161" ht="24.75" customHeight="1">
      <c r="A161" s="44"/>
      <c r="B161" s="45"/>
      <c r="C161" s="45"/>
      <c r="D161" s="45"/>
      <c r="E161" s="44"/>
      <c r="F161" s="44"/>
      <c r="G161" s="45"/>
      <c r="H161" s="45"/>
      <c r="I161" s="45"/>
      <c r="J161" s="45"/>
      <c r="L161" s="45"/>
      <c r="M161" s="45"/>
      <c r="N161" s="45"/>
      <c r="O161" s="45"/>
      <c r="P161" s="45"/>
      <c r="Q161" s="45"/>
      <c r="R161" s="45"/>
      <c r="S161" s="45"/>
      <c r="T161" s="45"/>
      <c r="U161" s="45"/>
      <c r="V161" s="45"/>
      <c r="W161" s="45"/>
      <c r="X161" s="45"/>
      <c r="Y161" s="45"/>
      <c r="Z161" s="45"/>
      <c r="AA161" s="45"/>
    </row>
    <row r="162" ht="24.75" customHeight="1">
      <c r="A162" s="44"/>
      <c r="B162" s="45"/>
      <c r="C162" s="45"/>
      <c r="D162" s="45"/>
      <c r="E162" s="44"/>
      <c r="F162" s="44"/>
      <c r="G162" s="45"/>
      <c r="H162" s="45"/>
      <c r="I162" s="45"/>
      <c r="J162" s="45"/>
      <c r="L162" s="45"/>
      <c r="M162" s="45"/>
      <c r="N162" s="45"/>
      <c r="O162" s="45"/>
      <c r="P162" s="45"/>
      <c r="Q162" s="45"/>
      <c r="R162" s="45"/>
      <c r="S162" s="45"/>
      <c r="T162" s="45"/>
      <c r="U162" s="45"/>
      <c r="V162" s="45"/>
      <c r="W162" s="45"/>
      <c r="X162" s="45"/>
      <c r="Y162" s="45"/>
      <c r="Z162" s="45"/>
      <c r="AA162" s="45"/>
    </row>
    <row r="163" ht="24.75" customHeight="1">
      <c r="A163" s="44"/>
      <c r="B163" s="45"/>
      <c r="C163" s="45"/>
      <c r="D163" s="45"/>
      <c r="E163" s="44"/>
      <c r="F163" s="44"/>
      <c r="G163" s="45"/>
      <c r="H163" s="45"/>
      <c r="I163" s="45"/>
      <c r="J163" s="45"/>
      <c r="L163" s="45"/>
      <c r="M163" s="45"/>
      <c r="N163" s="45"/>
      <c r="O163" s="45"/>
      <c r="P163" s="45"/>
      <c r="Q163" s="45"/>
      <c r="R163" s="45"/>
      <c r="S163" s="45"/>
      <c r="T163" s="45"/>
      <c r="U163" s="45"/>
      <c r="V163" s="45"/>
      <c r="W163" s="45"/>
      <c r="X163" s="45"/>
      <c r="Y163" s="45"/>
      <c r="Z163" s="45"/>
      <c r="AA163" s="45"/>
    </row>
    <row r="164" ht="24.75" customHeight="1">
      <c r="A164" s="44"/>
      <c r="B164" s="45"/>
      <c r="C164" s="45"/>
      <c r="D164" s="45"/>
      <c r="E164" s="44"/>
      <c r="F164" s="44"/>
      <c r="G164" s="45"/>
      <c r="H164" s="45"/>
      <c r="I164" s="45"/>
      <c r="J164" s="45"/>
      <c r="L164" s="45"/>
      <c r="M164" s="45"/>
      <c r="N164" s="45"/>
      <c r="O164" s="45"/>
      <c r="P164" s="45"/>
      <c r="Q164" s="45"/>
      <c r="R164" s="45"/>
      <c r="S164" s="45"/>
      <c r="T164" s="45"/>
      <c r="U164" s="45"/>
      <c r="V164" s="45"/>
      <c r="W164" s="45"/>
      <c r="X164" s="45"/>
      <c r="Y164" s="45"/>
      <c r="Z164" s="45"/>
      <c r="AA164" s="45"/>
    </row>
    <row r="165" ht="24.75" customHeight="1">
      <c r="A165" s="44"/>
      <c r="B165" s="45"/>
      <c r="C165" s="45"/>
      <c r="D165" s="45"/>
      <c r="E165" s="44"/>
      <c r="F165" s="44"/>
      <c r="G165" s="45"/>
      <c r="H165" s="45"/>
      <c r="I165" s="45"/>
      <c r="J165" s="45"/>
      <c r="L165" s="45"/>
      <c r="M165" s="45"/>
      <c r="N165" s="45"/>
      <c r="O165" s="45"/>
      <c r="P165" s="45"/>
      <c r="Q165" s="45"/>
      <c r="R165" s="45"/>
      <c r="S165" s="45"/>
      <c r="T165" s="45"/>
      <c r="U165" s="45"/>
      <c r="V165" s="45"/>
      <c r="W165" s="45"/>
      <c r="X165" s="45"/>
      <c r="Y165" s="45"/>
      <c r="Z165" s="45"/>
      <c r="AA165" s="45"/>
    </row>
    <row r="166" ht="24.75" customHeight="1">
      <c r="A166" s="44"/>
      <c r="B166" s="45"/>
      <c r="C166" s="45"/>
      <c r="D166" s="45"/>
      <c r="E166" s="44"/>
      <c r="F166" s="44"/>
      <c r="G166" s="45"/>
      <c r="H166" s="45"/>
      <c r="I166" s="45"/>
      <c r="J166" s="45"/>
      <c r="L166" s="45"/>
      <c r="M166" s="45"/>
      <c r="N166" s="45"/>
      <c r="O166" s="45"/>
      <c r="P166" s="45"/>
      <c r="Q166" s="45"/>
      <c r="R166" s="45"/>
      <c r="S166" s="45"/>
      <c r="T166" s="45"/>
      <c r="U166" s="45"/>
      <c r="V166" s="45"/>
      <c r="W166" s="45"/>
      <c r="X166" s="45"/>
      <c r="Y166" s="45"/>
      <c r="Z166" s="45"/>
      <c r="AA166" s="45"/>
    </row>
    <row r="167" ht="24.75" customHeight="1">
      <c r="A167" s="44"/>
      <c r="B167" s="45"/>
      <c r="C167" s="45"/>
      <c r="D167" s="45"/>
      <c r="E167" s="44"/>
      <c r="F167" s="44"/>
      <c r="G167" s="45"/>
      <c r="H167" s="45"/>
      <c r="I167" s="45"/>
      <c r="J167" s="45"/>
      <c r="L167" s="45"/>
      <c r="M167" s="45"/>
      <c r="N167" s="45"/>
      <c r="O167" s="45"/>
      <c r="P167" s="45"/>
      <c r="Q167" s="45"/>
      <c r="R167" s="45"/>
      <c r="S167" s="45"/>
      <c r="T167" s="45"/>
      <c r="U167" s="45"/>
      <c r="V167" s="45"/>
      <c r="W167" s="45"/>
      <c r="X167" s="45"/>
      <c r="Y167" s="45"/>
      <c r="Z167" s="45"/>
      <c r="AA167" s="45"/>
    </row>
    <row r="168" ht="24.75" customHeight="1">
      <c r="A168" s="44"/>
      <c r="B168" s="45"/>
      <c r="C168" s="45"/>
      <c r="D168" s="45"/>
      <c r="E168" s="44"/>
      <c r="F168" s="44"/>
      <c r="G168" s="45"/>
      <c r="H168" s="45"/>
      <c r="I168" s="45"/>
      <c r="J168" s="45"/>
      <c r="L168" s="45"/>
      <c r="M168" s="45"/>
      <c r="N168" s="45"/>
      <c r="O168" s="45"/>
      <c r="P168" s="45"/>
      <c r="Q168" s="45"/>
      <c r="R168" s="45"/>
      <c r="S168" s="45"/>
      <c r="T168" s="45"/>
      <c r="U168" s="45"/>
      <c r="V168" s="45"/>
      <c r="W168" s="45"/>
      <c r="X168" s="45"/>
      <c r="Y168" s="45"/>
      <c r="Z168" s="45"/>
      <c r="AA168" s="45"/>
    </row>
    <row r="169" ht="24.75" customHeight="1">
      <c r="A169" s="44"/>
      <c r="B169" s="45"/>
      <c r="C169" s="45"/>
      <c r="D169" s="45"/>
      <c r="E169" s="44"/>
      <c r="F169" s="44"/>
      <c r="G169" s="45"/>
      <c r="H169" s="45"/>
      <c r="I169" s="45"/>
      <c r="J169" s="45"/>
      <c r="L169" s="45"/>
      <c r="M169" s="45"/>
      <c r="N169" s="45"/>
      <c r="O169" s="45"/>
      <c r="P169" s="45"/>
      <c r="Q169" s="45"/>
      <c r="R169" s="45"/>
      <c r="S169" s="45"/>
      <c r="T169" s="45"/>
      <c r="U169" s="45"/>
      <c r="V169" s="45"/>
      <c r="W169" s="45"/>
      <c r="X169" s="45"/>
      <c r="Y169" s="45"/>
      <c r="Z169" s="45"/>
      <c r="AA169" s="45"/>
    </row>
    <row r="170" ht="24.75" customHeight="1">
      <c r="A170" s="44"/>
      <c r="B170" s="45"/>
      <c r="C170" s="45"/>
      <c r="D170" s="45"/>
      <c r="E170" s="44"/>
      <c r="F170" s="44"/>
      <c r="G170" s="45"/>
      <c r="H170" s="45"/>
      <c r="I170" s="45"/>
      <c r="J170" s="45"/>
      <c r="L170" s="45"/>
      <c r="M170" s="45"/>
      <c r="N170" s="45"/>
      <c r="O170" s="45"/>
      <c r="P170" s="45"/>
      <c r="Q170" s="45"/>
      <c r="R170" s="45"/>
      <c r="S170" s="45"/>
      <c r="T170" s="45"/>
      <c r="U170" s="45"/>
      <c r="V170" s="45"/>
      <c r="W170" s="45"/>
      <c r="X170" s="45"/>
      <c r="Y170" s="45"/>
      <c r="Z170" s="45"/>
      <c r="AA170" s="45"/>
    </row>
    <row r="171" ht="24.75" customHeight="1">
      <c r="A171" s="44"/>
      <c r="B171" s="45"/>
      <c r="C171" s="45"/>
      <c r="D171" s="45"/>
      <c r="E171" s="44"/>
      <c r="F171" s="44"/>
      <c r="G171" s="45"/>
      <c r="H171" s="45"/>
      <c r="I171" s="45"/>
      <c r="J171" s="45"/>
      <c r="L171" s="45"/>
      <c r="M171" s="45"/>
      <c r="N171" s="45"/>
      <c r="O171" s="45"/>
      <c r="P171" s="45"/>
      <c r="Q171" s="45"/>
      <c r="R171" s="45"/>
      <c r="S171" s="45"/>
      <c r="T171" s="45"/>
      <c r="U171" s="45"/>
      <c r="V171" s="45"/>
      <c r="W171" s="45"/>
      <c r="X171" s="45"/>
      <c r="Y171" s="45"/>
      <c r="Z171" s="45"/>
      <c r="AA171" s="45"/>
    </row>
    <row r="172" ht="24.75" customHeight="1">
      <c r="A172" s="44"/>
      <c r="B172" s="45"/>
      <c r="C172" s="45"/>
      <c r="D172" s="45"/>
      <c r="E172" s="44"/>
      <c r="F172" s="44"/>
      <c r="G172" s="45"/>
      <c r="H172" s="45"/>
      <c r="I172" s="45"/>
      <c r="J172" s="45"/>
      <c r="L172" s="45"/>
      <c r="M172" s="45"/>
      <c r="N172" s="45"/>
      <c r="O172" s="45"/>
      <c r="P172" s="45"/>
      <c r="Q172" s="45"/>
      <c r="R172" s="45"/>
      <c r="S172" s="45"/>
      <c r="T172" s="45"/>
      <c r="U172" s="45"/>
      <c r="V172" s="45"/>
      <c r="W172" s="45"/>
      <c r="X172" s="45"/>
      <c r="Y172" s="45"/>
      <c r="Z172" s="45"/>
      <c r="AA172" s="45"/>
    </row>
    <row r="173" ht="24.75" customHeight="1">
      <c r="A173" s="44"/>
      <c r="B173" s="45"/>
      <c r="C173" s="45"/>
      <c r="D173" s="45"/>
      <c r="E173" s="44"/>
      <c r="F173" s="44"/>
      <c r="G173" s="45"/>
      <c r="H173" s="45"/>
      <c r="I173" s="45"/>
      <c r="J173" s="45"/>
      <c r="L173" s="45"/>
      <c r="M173" s="45"/>
      <c r="N173" s="45"/>
      <c r="O173" s="45"/>
      <c r="P173" s="45"/>
      <c r="Q173" s="45"/>
      <c r="R173" s="45"/>
      <c r="S173" s="45"/>
      <c r="T173" s="45"/>
      <c r="U173" s="45"/>
      <c r="V173" s="45"/>
      <c r="W173" s="45"/>
      <c r="X173" s="45"/>
      <c r="Y173" s="45"/>
      <c r="Z173" s="45"/>
      <c r="AA173" s="45"/>
    </row>
    <row r="174" ht="24.75" customHeight="1">
      <c r="A174" s="44"/>
      <c r="B174" s="45"/>
      <c r="C174" s="45"/>
      <c r="D174" s="45"/>
      <c r="E174" s="44"/>
      <c r="F174" s="44"/>
      <c r="G174" s="45"/>
      <c r="H174" s="45"/>
      <c r="I174" s="45"/>
      <c r="J174" s="45"/>
      <c r="L174" s="45"/>
      <c r="M174" s="45"/>
      <c r="N174" s="45"/>
      <c r="O174" s="45"/>
      <c r="P174" s="45"/>
      <c r="Q174" s="45"/>
      <c r="R174" s="45"/>
      <c r="S174" s="45"/>
      <c r="T174" s="45"/>
      <c r="U174" s="45"/>
      <c r="V174" s="45"/>
      <c r="W174" s="45"/>
      <c r="X174" s="45"/>
      <c r="Y174" s="45"/>
      <c r="Z174" s="45"/>
      <c r="AA174" s="45"/>
    </row>
    <row r="175" ht="24.75" customHeight="1">
      <c r="A175" s="44"/>
      <c r="B175" s="45"/>
      <c r="C175" s="45"/>
      <c r="D175" s="45"/>
      <c r="E175" s="44"/>
      <c r="F175" s="44"/>
      <c r="G175" s="45"/>
      <c r="H175" s="45"/>
      <c r="I175" s="45"/>
      <c r="J175" s="45"/>
      <c r="L175" s="45"/>
      <c r="M175" s="45"/>
      <c r="N175" s="45"/>
      <c r="O175" s="45"/>
      <c r="P175" s="45"/>
      <c r="Q175" s="45"/>
      <c r="R175" s="45"/>
      <c r="S175" s="45"/>
      <c r="T175" s="45"/>
      <c r="U175" s="45"/>
      <c r="V175" s="45"/>
      <c r="W175" s="45"/>
      <c r="X175" s="45"/>
      <c r="Y175" s="45"/>
      <c r="Z175" s="45"/>
      <c r="AA175" s="45"/>
    </row>
    <row r="176" ht="24.75" customHeight="1">
      <c r="A176" s="44"/>
      <c r="B176" s="45"/>
      <c r="C176" s="45"/>
      <c r="D176" s="45"/>
      <c r="E176" s="44"/>
      <c r="F176" s="44"/>
      <c r="G176" s="45"/>
      <c r="H176" s="45"/>
      <c r="I176" s="45"/>
      <c r="J176" s="45"/>
      <c r="L176" s="45"/>
      <c r="M176" s="45"/>
      <c r="N176" s="45"/>
      <c r="O176" s="45"/>
      <c r="P176" s="45"/>
      <c r="Q176" s="45"/>
      <c r="R176" s="45"/>
      <c r="S176" s="45"/>
      <c r="T176" s="45"/>
      <c r="U176" s="45"/>
      <c r="V176" s="45"/>
      <c r="W176" s="45"/>
      <c r="X176" s="45"/>
      <c r="Y176" s="45"/>
      <c r="Z176" s="45"/>
      <c r="AA176" s="45"/>
    </row>
    <row r="177" ht="24.75" customHeight="1">
      <c r="A177" s="44"/>
      <c r="B177" s="45"/>
      <c r="C177" s="45"/>
      <c r="D177" s="45"/>
      <c r="E177" s="44"/>
      <c r="F177" s="44"/>
      <c r="G177" s="45"/>
      <c r="H177" s="45"/>
      <c r="I177" s="45"/>
      <c r="J177" s="45"/>
      <c r="L177" s="45"/>
      <c r="M177" s="45"/>
      <c r="N177" s="45"/>
      <c r="O177" s="45"/>
      <c r="P177" s="45"/>
      <c r="Q177" s="45"/>
      <c r="R177" s="45"/>
      <c r="S177" s="45"/>
      <c r="T177" s="45"/>
      <c r="U177" s="45"/>
      <c r="V177" s="45"/>
      <c r="W177" s="45"/>
      <c r="X177" s="45"/>
      <c r="Y177" s="45"/>
      <c r="Z177" s="45"/>
      <c r="AA177" s="45"/>
    </row>
    <row r="178" ht="24.75" customHeight="1">
      <c r="A178" s="44"/>
      <c r="B178" s="45"/>
      <c r="C178" s="45"/>
      <c r="D178" s="45"/>
      <c r="E178" s="44"/>
      <c r="F178" s="44"/>
      <c r="G178" s="45"/>
      <c r="H178" s="45"/>
      <c r="I178" s="45"/>
      <c r="J178" s="45"/>
      <c r="L178" s="45"/>
      <c r="M178" s="45"/>
      <c r="N178" s="45"/>
      <c r="O178" s="45"/>
      <c r="P178" s="45"/>
      <c r="Q178" s="45"/>
      <c r="R178" s="45"/>
      <c r="S178" s="45"/>
      <c r="T178" s="45"/>
      <c r="U178" s="45"/>
      <c r="V178" s="45"/>
      <c r="W178" s="45"/>
      <c r="X178" s="45"/>
      <c r="Y178" s="45"/>
      <c r="Z178" s="45"/>
      <c r="AA178" s="45"/>
    </row>
    <row r="179" ht="24.75" customHeight="1">
      <c r="A179" s="44"/>
      <c r="B179" s="45"/>
      <c r="C179" s="45"/>
      <c r="D179" s="45"/>
      <c r="E179" s="44"/>
      <c r="F179" s="44"/>
      <c r="G179" s="45"/>
      <c r="H179" s="45"/>
      <c r="I179" s="45"/>
      <c r="J179" s="45"/>
      <c r="L179" s="45"/>
      <c r="M179" s="45"/>
      <c r="N179" s="45"/>
      <c r="O179" s="45"/>
      <c r="P179" s="45"/>
      <c r="Q179" s="45"/>
      <c r="R179" s="45"/>
      <c r="S179" s="45"/>
      <c r="T179" s="45"/>
      <c r="U179" s="45"/>
      <c r="V179" s="45"/>
      <c r="W179" s="45"/>
      <c r="X179" s="45"/>
      <c r="Y179" s="45"/>
      <c r="Z179" s="45"/>
      <c r="AA179" s="45"/>
    </row>
    <row r="180" ht="24.75" customHeight="1">
      <c r="A180" s="44"/>
      <c r="B180" s="45"/>
      <c r="C180" s="45"/>
      <c r="D180" s="45"/>
      <c r="E180" s="44"/>
      <c r="F180" s="44"/>
      <c r="G180" s="45"/>
      <c r="H180" s="45"/>
      <c r="I180" s="45"/>
      <c r="J180" s="45"/>
      <c r="L180" s="45"/>
      <c r="M180" s="45"/>
      <c r="N180" s="45"/>
      <c r="O180" s="45"/>
      <c r="P180" s="45"/>
      <c r="Q180" s="45"/>
      <c r="R180" s="45"/>
      <c r="S180" s="45"/>
      <c r="T180" s="45"/>
      <c r="U180" s="45"/>
      <c r="V180" s="45"/>
      <c r="W180" s="45"/>
      <c r="X180" s="45"/>
      <c r="Y180" s="45"/>
      <c r="Z180" s="45"/>
      <c r="AA180" s="45"/>
    </row>
    <row r="181" ht="24.75" customHeight="1">
      <c r="A181" s="44"/>
      <c r="B181" s="45"/>
      <c r="C181" s="45"/>
      <c r="D181" s="45"/>
      <c r="E181" s="44"/>
      <c r="F181" s="44"/>
      <c r="G181" s="45"/>
      <c r="H181" s="45"/>
      <c r="I181" s="45"/>
      <c r="J181" s="45"/>
      <c r="L181" s="45"/>
      <c r="M181" s="45"/>
      <c r="N181" s="45"/>
      <c r="O181" s="45"/>
      <c r="P181" s="45"/>
      <c r="Q181" s="45"/>
      <c r="R181" s="45"/>
      <c r="S181" s="45"/>
      <c r="T181" s="45"/>
      <c r="U181" s="45"/>
      <c r="V181" s="45"/>
      <c r="W181" s="45"/>
      <c r="X181" s="45"/>
      <c r="Y181" s="45"/>
      <c r="Z181" s="45"/>
      <c r="AA181" s="45"/>
    </row>
    <row r="182" ht="24.75" customHeight="1">
      <c r="A182" s="44"/>
      <c r="B182" s="45"/>
      <c r="C182" s="45"/>
      <c r="D182" s="45"/>
      <c r="E182" s="44"/>
      <c r="F182" s="44"/>
      <c r="G182" s="45"/>
      <c r="H182" s="45"/>
      <c r="I182" s="45"/>
      <c r="J182" s="45"/>
      <c r="L182" s="45"/>
      <c r="M182" s="45"/>
      <c r="N182" s="45"/>
      <c r="O182" s="45"/>
      <c r="P182" s="45"/>
      <c r="Q182" s="45"/>
      <c r="R182" s="45"/>
      <c r="S182" s="45"/>
      <c r="T182" s="45"/>
      <c r="U182" s="45"/>
      <c r="V182" s="45"/>
      <c r="W182" s="45"/>
      <c r="X182" s="45"/>
      <c r="Y182" s="45"/>
      <c r="Z182" s="45"/>
      <c r="AA182" s="45"/>
    </row>
    <row r="183" ht="24.75" customHeight="1">
      <c r="A183" s="44"/>
      <c r="B183" s="45"/>
      <c r="C183" s="45"/>
      <c r="D183" s="45"/>
      <c r="E183" s="44"/>
      <c r="F183" s="44"/>
      <c r="G183" s="45"/>
      <c r="H183" s="45"/>
      <c r="I183" s="45"/>
      <c r="J183" s="45"/>
      <c r="L183" s="45"/>
      <c r="M183" s="45"/>
      <c r="N183" s="45"/>
      <c r="O183" s="45"/>
      <c r="P183" s="45"/>
      <c r="Q183" s="45"/>
      <c r="R183" s="45"/>
      <c r="S183" s="45"/>
      <c r="T183" s="45"/>
      <c r="U183" s="45"/>
      <c r="V183" s="45"/>
      <c r="W183" s="45"/>
      <c r="X183" s="45"/>
      <c r="Y183" s="45"/>
      <c r="Z183" s="45"/>
      <c r="AA183" s="45"/>
    </row>
    <row r="184" ht="24.75" customHeight="1">
      <c r="A184" s="44"/>
      <c r="B184" s="45"/>
      <c r="C184" s="45"/>
      <c r="D184" s="45"/>
      <c r="E184" s="44"/>
      <c r="F184" s="44"/>
      <c r="G184" s="45"/>
      <c r="H184" s="45"/>
      <c r="I184" s="45"/>
      <c r="J184" s="45"/>
      <c r="L184" s="45"/>
      <c r="M184" s="45"/>
      <c r="N184" s="45"/>
      <c r="O184" s="45"/>
      <c r="P184" s="45"/>
      <c r="Q184" s="45"/>
      <c r="R184" s="45"/>
      <c r="S184" s="45"/>
      <c r="T184" s="45"/>
      <c r="U184" s="45"/>
      <c r="V184" s="45"/>
      <c r="W184" s="45"/>
      <c r="X184" s="45"/>
      <c r="Y184" s="45"/>
      <c r="Z184" s="45"/>
      <c r="AA184" s="45"/>
    </row>
    <row r="185" ht="24.75" customHeight="1">
      <c r="A185" s="44"/>
      <c r="B185" s="45"/>
      <c r="C185" s="45"/>
      <c r="D185" s="45"/>
      <c r="E185" s="44"/>
      <c r="F185" s="44"/>
      <c r="G185" s="45"/>
      <c r="H185" s="45"/>
      <c r="I185" s="45"/>
      <c r="J185" s="45"/>
      <c r="L185" s="45"/>
      <c r="M185" s="45"/>
      <c r="N185" s="45"/>
      <c r="O185" s="45"/>
      <c r="P185" s="45"/>
      <c r="Q185" s="45"/>
      <c r="R185" s="45"/>
      <c r="S185" s="45"/>
      <c r="T185" s="45"/>
      <c r="U185" s="45"/>
      <c r="V185" s="45"/>
      <c r="W185" s="45"/>
      <c r="X185" s="45"/>
      <c r="Y185" s="45"/>
      <c r="Z185" s="45"/>
      <c r="AA185" s="45"/>
    </row>
    <row r="186" ht="24.75" customHeight="1">
      <c r="A186" s="44"/>
      <c r="B186" s="45"/>
      <c r="C186" s="45"/>
      <c r="D186" s="45"/>
      <c r="E186" s="44"/>
      <c r="F186" s="44"/>
      <c r="G186" s="45"/>
      <c r="H186" s="45"/>
      <c r="I186" s="45"/>
      <c r="J186" s="45"/>
      <c r="L186" s="45"/>
      <c r="M186" s="45"/>
      <c r="N186" s="45"/>
      <c r="O186" s="45"/>
      <c r="P186" s="45"/>
      <c r="Q186" s="45"/>
      <c r="R186" s="45"/>
      <c r="S186" s="45"/>
      <c r="T186" s="45"/>
      <c r="U186" s="45"/>
      <c r="V186" s="45"/>
      <c r="W186" s="45"/>
      <c r="X186" s="45"/>
      <c r="Y186" s="45"/>
      <c r="Z186" s="45"/>
      <c r="AA186" s="45"/>
    </row>
    <row r="187" ht="24.75" customHeight="1">
      <c r="A187" s="44"/>
      <c r="B187" s="45"/>
      <c r="C187" s="45"/>
      <c r="D187" s="45"/>
      <c r="E187" s="44"/>
      <c r="F187" s="44"/>
      <c r="G187" s="45"/>
      <c r="H187" s="45"/>
      <c r="I187" s="45"/>
      <c r="J187" s="45"/>
      <c r="L187" s="45"/>
      <c r="M187" s="45"/>
      <c r="N187" s="45"/>
      <c r="O187" s="45"/>
      <c r="P187" s="45"/>
      <c r="Q187" s="45"/>
      <c r="R187" s="45"/>
      <c r="S187" s="45"/>
      <c r="T187" s="45"/>
      <c r="U187" s="45"/>
      <c r="V187" s="45"/>
      <c r="W187" s="45"/>
      <c r="X187" s="45"/>
      <c r="Y187" s="45"/>
      <c r="Z187" s="45"/>
      <c r="AA187" s="45"/>
    </row>
    <row r="188" ht="24.75" customHeight="1">
      <c r="A188" s="44"/>
      <c r="B188" s="45"/>
      <c r="C188" s="45"/>
      <c r="D188" s="45"/>
      <c r="E188" s="44"/>
      <c r="F188" s="44"/>
      <c r="G188" s="45"/>
      <c r="H188" s="45"/>
      <c r="I188" s="45"/>
      <c r="J188" s="45"/>
      <c r="L188" s="45"/>
      <c r="M188" s="45"/>
      <c r="N188" s="45"/>
      <c r="O188" s="45"/>
      <c r="P188" s="45"/>
      <c r="Q188" s="45"/>
      <c r="R188" s="45"/>
      <c r="S188" s="45"/>
      <c r="T188" s="45"/>
      <c r="U188" s="45"/>
      <c r="V188" s="45"/>
      <c r="W188" s="45"/>
      <c r="X188" s="45"/>
      <c r="Y188" s="45"/>
      <c r="Z188" s="45"/>
      <c r="AA188" s="45"/>
    </row>
    <row r="189" ht="24.75" customHeight="1">
      <c r="A189" s="44"/>
      <c r="B189" s="45"/>
      <c r="C189" s="45"/>
      <c r="D189" s="45"/>
      <c r="E189" s="44"/>
      <c r="F189" s="44"/>
      <c r="G189" s="45"/>
      <c r="H189" s="45"/>
      <c r="I189" s="45"/>
      <c r="J189" s="45"/>
      <c r="L189" s="45"/>
      <c r="M189" s="45"/>
      <c r="N189" s="45"/>
      <c r="O189" s="45"/>
      <c r="P189" s="45"/>
      <c r="Q189" s="45"/>
      <c r="R189" s="45"/>
      <c r="S189" s="45"/>
      <c r="T189" s="45"/>
      <c r="U189" s="45"/>
      <c r="V189" s="45"/>
      <c r="W189" s="45"/>
      <c r="X189" s="45"/>
      <c r="Y189" s="45"/>
      <c r="Z189" s="45"/>
      <c r="AA189" s="45"/>
    </row>
    <row r="190" ht="24.75" customHeight="1">
      <c r="A190" s="44"/>
      <c r="B190" s="45"/>
      <c r="C190" s="45"/>
      <c r="D190" s="45"/>
      <c r="E190" s="44"/>
      <c r="F190" s="44"/>
      <c r="G190" s="45"/>
      <c r="H190" s="45"/>
      <c r="I190" s="45"/>
      <c r="J190" s="45"/>
      <c r="L190" s="45"/>
      <c r="M190" s="45"/>
      <c r="N190" s="45"/>
      <c r="O190" s="45"/>
      <c r="P190" s="45"/>
      <c r="Q190" s="45"/>
      <c r="R190" s="45"/>
      <c r="S190" s="45"/>
      <c r="T190" s="45"/>
      <c r="U190" s="45"/>
      <c r="V190" s="45"/>
      <c r="W190" s="45"/>
      <c r="X190" s="45"/>
      <c r="Y190" s="45"/>
      <c r="Z190" s="45"/>
      <c r="AA190" s="45"/>
    </row>
    <row r="191" ht="24.75" customHeight="1">
      <c r="A191" s="44"/>
      <c r="B191" s="45"/>
      <c r="C191" s="45"/>
      <c r="D191" s="45"/>
      <c r="E191" s="44"/>
      <c r="F191" s="44"/>
      <c r="G191" s="45"/>
      <c r="H191" s="45"/>
      <c r="I191" s="45"/>
      <c r="J191" s="45"/>
      <c r="L191" s="45"/>
      <c r="M191" s="45"/>
      <c r="N191" s="45"/>
      <c r="O191" s="45"/>
      <c r="P191" s="45"/>
      <c r="Q191" s="45"/>
      <c r="R191" s="45"/>
      <c r="S191" s="45"/>
      <c r="T191" s="45"/>
      <c r="U191" s="45"/>
      <c r="V191" s="45"/>
      <c r="W191" s="45"/>
      <c r="X191" s="45"/>
      <c r="Y191" s="45"/>
      <c r="Z191" s="45"/>
      <c r="AA191" s="45"/>
    </row>
    <row r="192" ht="24.75" customHeight="1">
      <c r="A192" s="44"/>
      <c r="B192" s="45"/>
      <c r="C192" s="45"/>
      <c r="D192" s="45"/>
      <c r="E192" s="44"/>
      <c r="F192" s="44"/>
      <c r="G192" s="45"/>
      <c r="H192" s="45"/>
      <c r="I192" s="45"/>
      <c r="J192" s="45"/>
      <c r="L192" s="45"/>
      <c r="M192" s="45"/>
      <c r="N192" s="45"/>
      <c r="O192" s="45"/>
      <c r="P192" s="45"/>
      <c r="Q192" s="45"/>
      <c r="R192" s="45"/>
      <c r="S192" s="45"/>
      <c r="T192" s="45"/>
      <c r="U192" s="45"/>
      <c r="V192" s="45"/>
      <c r="W192" s="45"/>
      <c r="X192" s="45"/>
      <c r="Y192" s="45"/>
      <c r="Z192" s="45"/>
      <c r="AA192" s="45"/>
    </row>
    <row r="193" ht="24.75" customHeight="1">
      <c r="A193" s="44"/>
      <c r="B193" s="45"/>
      <c r="C193" s="45"/>
      <c r="D193" s="45"/>
      <c r="E193" s="44"/>
      <c r="F193" s="44"/>
      <c r="G193" s="45"/>
      <c r="H193" s="45"/>
      <c r="I193" s="45"/>
      <c r="J193" s="45"/>
      <c r="L193" s="45"/>
      <c r="M193" s="45"/>
      <c r="N193" s="45"/>
      <c r="O193" s="45"/>
      <c r="P193" s="45"/>
      <c r="Q193" s="45"/>
      <c r="R193" s="45"/>
      <c r="S193" s="45"/>
      <c r="T193" s="45"/>
      <c r="U193" s="45"/>
      <c r="V193" s="45"/>
      <c r="W193" s="45"/>
      <c r="X193" s="45"/>
      <c r="Y193" s="45"/>
      <c r="Z193" s="45"/>
      <c r="AA193" s="45"/>
    </row>
    <row r="194" ht="24.75" customHeight="1">
      <c r="A194" s="44"/>
      <c r="B194" s="45"/>
      <c r="C194" s="45"/>
      <c r="D194" s="45"/>
      <c r="E194" s="44"/>
      <c r="F194" s="44"/>
      <c r="G194" s="45"/>
      <c r="H194" s="45"/>
      <c r="I194" s="45"/>
      <c r="J194" s="45"/>
      <c r="L194" s="45"/>
      <c r="M194" s="45"/>
      <c r="N194" s="45"/>
      <c r="O194" s="45"/>
      <c r="P194" s="45"/>
      <c r="Q194" s="45"/>
      <c r="R194" s="45"/>
      <c r="S194" s="45"/>
      <c r="T194" s="45"/>
      <c r="U194" s="45"/>
      <c r="V194" s="45"/>
      <c r="W194" s="45"/>
      <c r="X194" s="45"/>
      <c r="Y194" s="45"/>
      <c r="Z194" s="45"/>
      <c r="AA194" s="45"/>
    </row>
    <row r="195" ht="24.75" customHeight="1">
      <c r="A195" s="44"/>
      <c r="B195" s="45"/>
      <c r="C195" s="45"/>
      <c r="D195" s="45"/>
      <c r="E195" s="44"/>
      <c r="F195" s="44"/>
      <c r="G195" s="45"/>
      <c r="H195" s="45"/>
      <c r="I195" s="45"/>
      <c r="J195" s="45"/>
      <c r="L195" s="45"/>
      <c r="M195" s="45"/>
      <c r="N195" s="45"/>
      <c r="O195" s="45"/>
      <c r="P195" s="45"/>
      <c r="Q195" s="45"/>
      <c r="R195" s="45"/>
      <c r="S195" s="45"/>
      <c r="T195" s="45"/>
      <c r="U195" s="45"/>
      <c r="V195" s="45"/>
      <c r="W195" s="45"/>
      <c r="X195" s="45"/>
      <c r="Y195" s="45"/>
      <c r="Z195" s="45"/>
      <c r="AA195" s="45"/>
    </row>
    <row r="196" ht="24.75" customHeight="1">
      <c r="A196" s="44"/>
      <c r="B196" s="45"/>
      <c r="C196" s="45"/>
      <c r="D196" s="45"/>
      <c r="E196" s="44"/>
      <c r="F196" s="44"/>
      <c r="G196" s="45"/>
      <c r="H196" s="45"/>
      <c r="I196" s="45"/>
      <c r="J196" s="45"/>
      <c r="L196" s="45"/>
      <c r="M196" s="45"/>
      <c r="N196" s="45"/>
      <c r="O196" s="45"/>
      <c r="P196" s="45"/>
      <c r="Q196" s="45"/>
      <c r="R196" s="45"/>
      <c r="S196" s="45"/>
      <c r="T196" s="45"/>
      <c r="U196" s="45"/>
      <c r="V196" s="45"/>
      <c r="W196" s="45"/>
      <c r="X196" s="45"/>
      <c r="Y196" s="45"/>
      <c r="Z196" s="45"/>
      <c r="AA196" s="45"/>
    </row>
    <row r="197" ht="24.75" customHeight="1">
      <c r="A197" s="44"/>
      <c r="B197" s="45"/>
      <c r="C197" s="45"/>
      <c r="D197" s="45"/>
      <c r="E197" s="44"/>
      <c r="F197" s="44"/>
      <c r="G197" s="45"/>
      <c r="H197" s="45"/>
      <c r="I197" s="45"/>
      <c r="J197" s="45"/>
      <c r="L197" s="45"/>
      <c r="M197" s="45"/>
      <c r="N197" s="45"/>
      <c r="O197" s="45"/>
      <c r="P197" s="45"/>
      <c r="Q197" s="45"/>
      <c r="R197" s="45"/>
      <c r="S197" s="45"/>
      <c r="T197" s="45"/>
      <c r="U197" s="45"/>
      <c r="V197" s="45"/>
      <c r="W197" s="45"/>
      <c r="X197" s="45"/>
      <c r="Y197" s="45"/>
      <c r="Z197" s="45"/>
      <c r="AA197" s="45"/>
    </row>
    <row r="198" ht="24.75" customHeight="1">
      <c r="A198" s="44"/>
      <c r="B198" s="45"/>
      <c r="C198" s="45"/>
      <c r="D198" s="45"/>
      <c r="E198" s="44"/>
      <c r="F198" s="44"/>
      <c r="G198" s="45"/>
      <c r="H198" s="45"/>
      <c r="I198" s="45"/>
      <c r="J198" s="45"/>
      <c r="L198" s="45"/>
      <c r="M198" s="45"/>
      <c r="N198" s="45"/>
      <c r="O198" s="45"/>
      <c r="P198" s="45"/>
      <c r="Q198" s="45"/>
      <c r="R198" s="45"/>
      <c r="S198" s="45"/>
      <c r="T198" s="45"/>
      <c r="U198" s="45"/>
      <c r="V198" s="45"/>
      <c r="W198" s="45"/>
      <c r="X198" s="45"/>
      <c r="Y198" s="45"/>
      <c r="Z198" s="45"/>
      <c r="AA198" s="45"/>
    </row>
    <row r="199" ht="24.75" customHeight="1">
      <c r="A199" s="44"/>
      <c r="B199" s="45"/>
      <c r="C199" s="45"/>
      <c r="D199" s="45"/>
      <c r="E199" s="44"/>
      <c r="F199" s="44"/>
      <c r="G199" s="45"/>
      <c r="H199" s="45"/>
      <c r="I199" s="45"/>
      <c r="J199" s="45"/>
      <c r="L199" s="45"/>
      <c r="M199" s="45"/>
      <c r="N199" s="45"/>
      <c r="O199" s="45"/>
      <c r="P199" s="45"/>
      <c r="Q199" s="45"/>
      <c r="R199" s="45"/>
      <c r="S199" s="45"/>
      <c r="T199" s="45"/>
      <c r="U199" s="45"/>
      <c r="V199" s="45"/>
      <c r="W199" s="45"/>
      <c r="X199" s="45"/>
      <c r="Y199" s="45"/>
      <c r="Z199" s="45"/>
      <c r="AA199" s="45"/>
    </row>
    <row r="200" ht="24.75" customHeight="1">
      <c r="A200" s="44"/>
      <c r="B200" s="45"/>
      <c r="C200" s="45"/>
      <c r="D200" s="45"/>
      <c r="E200" s="44"/>
      <c r="F200" s="44"/>
      <c r="G200" s="45"/>
      <c r="H200" s="45"/>
      <c r="I200" s="45"/>
      <c r="J200" s="45"/>
      <c r="L200" s="45"/>
      <c r="M200" s="45"/>
      <c r="N200" s="45"/>
      <c r="O200" s="45"/>
      <c r="P200" s="45"/>
      <c r="Q200" s="45"/>
      <c r="R200" s="45"/>
      <c r="S200" s="45"/>
      <c r="T200" s="45"/>
      <c r="U200" s="45"/>
      <c r="V200" s="45"/>
      <c r="W200" s="45"/>
      <c r="X200" s="45"/>
      <c r="Y200" s="45"/>
      <c r="Z200" s="45"/>
      <c r="AA200" s="45"/>
    </row>
    <row r="201" ht="24.75" customHeight="1">
      <c r="A201" s="44"/>
      <c r="B201" s="45"/>
      <c r="C201" s="45"/>
      <c r="D201" s="45"/>
      <c r="E201" s="44"/>
      <c r="F201" s="44"/>
      <c r="G201" s="45"/>
      <c r="H201" s="45"/>
      <c r="I201" s="45"/>
      <c r="J201" s="45"/>
      <c r="L201" s="45"/>
      <c r="M201" s="45"/>
      <c r="N201" s="45"/>
      <c r="O201" s="45"/>
      <c r="P201" s="45"/>
      <c r="Q201" s="45"/>
      <c r="R201" s="45"/>
      <c r="S201" s="45"/>
      <c r="T201" s="45"/>
      <c r="U201" s="45"/>
      <c r="V201" s="45"/>
      <c r="W201" s="45"/>
      <c r="X201" s="45"/>
      <c r="Y201" s="45"/>
      <c r="Z201" s="45"/>
      <c r="AA201" s="45"/>
    </row>
    <row r="202" ht="24.75" customHeight="1">
      <c r="A202" s="44"/>
      <c r="B202" s="45"/>
      <c r="C202" s="45"/>
      <c r="D202" s="45"/>
      <c r="E202" s="44"/>
      <c r="F202" s="44"/>
      <c r="G202" s="45"/>
      <c r="H202" s="45"/>
      <c r="I202" s="45"/>
      <c r="J202" s="45"/>
      <c r="L202" s="45"/>
      <c r="M202" s="45"/>
      <c r="N202" s="45"/>
      <c r="O202" s="45"/>
      <c r="P202" s="45"/>
      <c r="Q202" s="45"/>
      <c r="R202" s="45"/>
      <c r="S202" s="45"/>
      <c r="T202" s="45"/>
      <c r="U202" s="45"/>
      <c r="V202" s="45"/>
      <c r="W202" s="45"/>
      <c r="X202" s="45"/>
      <c r="Y202" s="45"/>
      <c r="Z202" s="45"/>
      <c r="AA202" s="45"/>
    </row>
    <row r="203" ht="24.75" customHeight="1">
      <c r="A203" s="44"/>
      <c r="B203" s="45"/>
      <c r="C203" s="45"/>
      <c r="D203" s="45"/>
      <c r="E203" s="44"/>
      <c r="F203" s="44"/>
      <c r="G203" s="45"/>
      <c r="H203" s="45"/>
      <c r="I203" s="45"/>
      <c r="J203" s="45"/>
      <c r="L203" s="45"/>
      <c r="M203" s="45"/>
      <c r="N203" s="45"/>
      <c r="O203" s="45"/>
      <c r="P203" s="45"/>
      <c r="Q203" s="45"/>
      <c r="R203" s="45"/>
      <c r="S203" s="45"/>
      <c r="T203" s="45"/>
      <c r="U203" s="45"/>
      <c r="V203" s="45"/>
      <c r="W203" s="45"/>
      <c r="X203" s="45"/>
      <c r="Y203" s="45"/>
      <c r="Z203" s="45"/>
      <c r="AA203" s="45"/>
    </row>
    <row r="204" ht="24.75" customHeight="1">
      <c r="A204" s="44"/>
      <c r="B204" s="45"/>
      <c r="C204" s="45"/>
      <c r="D204" s="45"/>
      <c r="E204" s="44"/>
      <c r="F204" s="44"/>
      <c r="G204" s="45"/>
      <c r="H204" s="45"/>
      <c r="I204" s="45"/>
      <c r="J204" s="45"/>
      <c r="L204" s="45"/>
      <c r="M204" s="45"/>
      <c r="N204" s="45"/>
      <c r="O204" s="45"/>
      <c r="P204" s="45"/>
      <c r="Q204" s="45"/>
      <c r="R204" s="45"/>
      <c r="S204" s="45"/>
      <c r="T204" s="45"/>
      <c r="U204" s="45"/>
      <c r="V204" s="45"/>
      <c r="W204" s="45"/>
      <c r="X204" s="45"/>
      <c r="Y204" s="45"/>
      <c r="Z204" s="45"/>
      <c r="AA204" s="45"/>
    </row>
    <row r="205" ht="24.75" customHeight="1">
      <c r="A205" s="44"/>
      <c r="B205" s="45"/>
      <c r="C205" s="45"/>
      <c r="D205" s="45"/>
      <c r="E205" s="44"/>
      <c r="F205" s="44"/>
      <c r="G205" s="45"/>
      <c r="H205" s="45"/>
      <c r="I205" s="45"/>
      <c r="J205" s="45"/>
      <c r="L205" s="45"/>
      <c r="M205" s="45"/>
      <c r="N205" s="45"/>
      <c r="O205" s="45"/>
      <c r="P205" s="45"/>
      <c r="Q205" s="45"/>
      <c r="R205" s="45"/>
      <c r="S205" s="45"/>
      <c r="T205" s="45"/>
      <c r="U205" s="45"/>
      <c r="V205" s="45"/>
      <c r="W205" s="45"/>
      <c r="X205" s="45"/>
      <c r="Y205" s="45"/>
      <c r="Z205" s="45"/>
      <c r="AA205" s="45"/>
    </row>
    <row r="206" ht="24.75" customHeight="1">
      <c r="A206" s="44"/>
      <c r="B206" s="45"/>
      <c r="C206" s="45"/>
      <c r="D206" s="45"/>
      <c r="E206" s="44"/>
      <c r="F206" s="44"/>
      <c r="G206" s="45"/>
      <c r="H206" s="45"/>
      <c r="I206" s="45"/>
      <c r="J206" s="45"/>
      <c r="L206" s="45"/>
      <c r="M206" s="45"/>
      <c r="N206" s="45"/>
      <c r="O206" s="45"/>
      <c r="P206" s="45"/>
      <c r="Q206" s="45"/>
      <c r="R206" s="45"/>
      <c r="S206" s="45"/>
      <c r="T206" s="45"/>
      <c r="U206" s="45"/>
      <c r="V206" s="45"/>
      <c r="W206" s="45"/>
      <c r="X206" s="45"/>
      <c r="Y206" s="45"/>
      <c r="Z206" s="45"/>
      <c r="AA206" s="45"/>
    </row>
    <row r="207" ht="24.75" customHeight="1">
      <c r="A207" s="44"/>
      <c r="B207" s="45"/>
      <c r="C207" s="45"/>
      <c r="D207" s="45"/>
      <c r="E207" s="44"/>
      <c r="F207" s="44"/>
      <c r="G207" s="45"/>
      <c r="H207" s="45"/>
      <c r="I207" s="45"/>
      <c r="J207" s="45"/>
      <c r="L207" s="45"/>
      <c r="M207" s="45"/>
      <c r="N207" s="45"/>
      <c r="O207" s="45"/>
      <c r="P207" s="45"/>
      <c r="Q207" s="45"/>
      <c r="R207" s="45"/>
      <c r="S207" s="45"/>
      <c r="T207" s="45"/>
      <c r="U207" s="45"/>
      <c r="V207" s="45"/>
      <c r="W207" s="45"/>
      <c r="X207" s="45"/>
      <c r="Y207" s="45"/>
      <c r="Z207" s="45"/>
      <c r="AA207" s="45"/>
    </row>
    <row r="208" ht="24.75" customHeight="1">
      <c r="A208" s="44"/>
      <c r="B208" s="45"/>
      <c r="C208" s="45"/>
      <c r="D208" s="45"/>
      <c r="E208" s="44"/>
      <c r="F208" s="44"/>
      <c r="G208" s="45"/>
      <c r="H208" s="45"/>
      <c r="I208" s="45"/>
      <c r="J208" s="45"/>
      <c r="L208" s="45"/>
      <c r="M208" s="45"/>
      <c r="N208" s="45"/>
      <c r="O208" s="45"/>
      <c r="P208" s="45"/>
      <c r="Q208" s="45"/>
      <c r="R208" s="45"/>
      <c r="S208" s="45"/>
      <c r="T208" s="45"/>
      <c r="U208" s="45"/>
      <c r="V208" s="45"/>
      <c r="W208" s="45"/>
      <c r="X208" s="45"/>
      <c r="Y208" s="45"/>
      <c r="Z208" s="45"/>
      <c r="AA208" s="45"/>
    </row>
    <row r="209" ht="24.75" customHeight="1">
      <c r="A209" s="44"/>
      <c r="B209" s="45"/>
      <c r="C209" s="45"/>
      <c r="D209" s="45"/>
      <c r="E209" s="44"/>
      <c r="F209" s="44"/>
      <c r="G209" s="45"/>
      <c r="H209" s="45"/>
      <c r="I209" s="45"/>
      <c r="J209" s="45"/>
      <c r="L209" s="45"/>
      <c r="M209" s="45"/>
      <c r="N209" s="45"/>
      <c r="O209" s="45"/>
      <c r="P209" s="45"/>
      <c r="Q209" s="45"/>
      <c r="R209" s="45"/>
      <c r="S209" s="45"/>
      <c r="T209" s="45"/>
      <c r="U209" s="45"/>
      <c r="V209" s="45"/>
      <c r="W209" s="45"/>
      <c r="X209" s="45"/>
      <c r="Y209" s="45"/>
      <c r="Z209" s="45"/>
      <c r="AA209" s="45"/>
    </row>
    <row r="210" ht="24.75" customHeight="1">
      <c r="A210" s="44"/>
      <c r="B210" s="45"/>
      <c r="C210" s="45"/>
      <c r="D210" s="45"/>
      <c r="E210" s="44"/>
      <c r="F210" s="44"/>
      <c r="G210" s="45"/>
      <c r="H210" s="45"/>
      <c r="I210" s="45"/>
      <c r="J210" s="45"/>
      <c r="L210" s="45"/>
      <c r="M210" s="45"/>
      <c r="N210" s="45"/>
      <c r="O210" s="45"/>
      <c r="P210" s="45"/>
      <c r="Q210" s="45"/>
      <c r="R210" s="45"/>
      <c r="S210" s="45"/>
      <c r="T210" s="45"/>
      <c r="U210" s="45"/>
      <c r="V210" s="45"/>
      <c r="W210" s="45"/>
      <c r="X210" s="45"/>
      <c r="Y210" s="45"/>
      <c r="Z210" s="45"/>
      <c r="AA210" s="45"/>
    </row>
    <row r="211" ht="24.75" customHeight="1">
      <c r="A211" s="44"/>
      <c r="B211" s="45"/>
      <c r="C211" s="45"/>
      <c r="D211" s="45"/>
      <c r="E211" s="44"/>
      <c r="F211" s="44"/>
      <c r="G211" s="45"/>
      <c r="H211" s="45"/>
      <c r="I211" s="45"/>
      <c r="J211" s="45"/>
      <c r="L211" s="45"/>
      <c r="M211" s="45"/>
      <c r="N211" s="45"/>
      <c r="O211" s="45"/>
      <c r="P211" s="45"/>
      <c r="Q211" s="45"/>
      <c r="R211" s="45"/>
      <c r="S211" s="45"/>
      <c r="T211" s="45"/>
      <c r="U211" s="45"/>
      <c r="V211" s="45"/>
      <c r="W211" s="45"/>
      <c r="X211" s="45"/>
      <c r="Y211" s="45"/>
      <c r="Z211" s="45"/>
      <c r="AA211" s="45"/>
    </row>
    <row r="212" ht="24.75" customHeight="1">
      <c r="A212" s="44"/>
      <c r="B212" s="45"/>
      <c r="C212" s="45"/>
      <c r="D212" s="45"/>
      <c r="E212" s="44"/>
      <c r="F212" s="44"/>
      <c r="G212" s="45"/>
      <c r="H212" s="45"/>
      <c r="I212" s="45"/>
      <c r="J212" s="45"/>
      <c r="L212" s="45"/>
      <c r="M212" s="45"/>
      <c r="N212" s="45"/>
      <c r="O212" s="45"/>
      <c r="P212" s="45"/>
      <c r="Q212" s="45"/>
      <c r="R212" s="45"/>
      <c r="S212" s="45"/>
      <c r="T212" s="45"/>
      <c r="U212" s="45"/>
      <c r="V212" s="45"/>
      <c r="W212" s="45"/>
      <c r="X212" s="45"/>
      <c r="Y212" s="45"/>
      <c r="Z212" s="45"/>
      <c r="AA212" s="45"/>
    </row>
    <row r="213" ht="24.75" customHeight="1">
      <c r="A213" s="44"/>
      <c r="B213" s="45"/>
      <c r="C213" s="45"/>
      <c r="D213" s="45"/>
      <c r="E213" s="44"/>
      <c r="F213" s="44"/>
      <c r="G213" s="45"/>
      <c r="H213" s="45"/>
      <c r="I213" s="45"/>
      <c r="J213" s="45"/>
      <c r="L213" s="45"/>
      <c r="M213" s="45"/>
      <c r="N213" s="45"/>
      <c r="O213" s="45"/>
      <c r="P213" s="45"/>
      <c r="Q213" s="45"/>
      <c r="R213" s="45"/>
      <c r="S213" s="45"/>
      <c r="T213" s="45"/>
      <c r="U213" s="45"/>
      <c r="V213" s="45"/>
      <c r="W213" s="45"/>
      <c r="X213" s="45"/>
      <c r="Y213" s="45"/>
      <c r="Z213" s="45"/>
      <c r="AA213" s="45"/>
    </row>
    <row r="214" ht="24.75" customHeight="1">
      <c r="A214" s="44"/>
      <c r="B214" s="45"/>
      <c r="C214" s="45"/>
      <c r="D214" s="45"/>
      <c r="E214" s="44"/>
      <c r="F214" s="44"/>
      <c r="G214" s="45"/>
      <c r="H214" s="45"/>
      <c r="I214" s="45"/>
      <c r="J214" s="45"/>
      <c r="L214" s="45"/>
      <c r="M214" s="45"/>
      <c r="N214" s="45"/>
      <c r="O214" s="45"/>
      <c r="P214" s="45"/>
      <c r="Q214" s="45"/>
      <c r="R214" s="45"/>
      <c r="S214" s="45"/>
      <c r="T214" s="45"/>
      <c r="U214" s="45"/>
      <c r="V214" s="45"/>
      <c r="W214" s="45"/>
      <c r="X214" s="45"/>
      <c r="Y214" s="45"/>
      <c r="Z214" s="45"/>
      <c r="AA214" s="45"/>
    </row>
    <row r="215" ht="24.75" customHeight="1">
      <c r="A215" s="44"/>
      <c r="B215" s="45"/>
      <c r="C215" s="45"/>
      <c r="D215" s="45"/>
      <c r="E215" s="44"/>
      <c r="F215" s="44"/>
      <c r="G215" s="45"/>
      <c r="H215" s="45"/>
      <c r="I215" s="45"/>
      <c r="J215" s="45"/>
      <c r="L215" s="45"/>
      <c r="M215" s="45"/>
      <c r="N215" s="45"/>
      <c r="O215" s="45"/>
      <c r="P215" s="45"/>
      <c r="Q215" s="45"/>
      <c r="R215" s="45"/>
      <c r="S215" s="45"/>
      <c r="T215" s="45"/>
      <c r="U215" s="45"/>
      <c r="V215" s="45"/>
      <c r="W215" s="45"/>
      <c r="X215" s="45"/>
      <c r="Y215" s="45"/>
      <c r="Z215" s="45"/>
      <c r="AA215" s="45"/>
    </row>
    <row r="216" ht="24.75" customHeight="1">
      <c r="A216" s="44"/>
      <c r="B216" s="45"/>
      <c r="C216" s="45"/>
      <c r="D216" s="45"/>
      <c r="E216" s="44"/>
      <c r="F216" s="44"/>
      <c r="G216" s="45"/>
      <c r="H216" s="45"/>
      <c r="I216" s="45"/>
      <c r="J216" s="45"/>
      <c r="L216" s="45"/>
      <c r="M216" s="45"/>
      <c r="N216" s="45"/>
      <c r="O216" s="45"/>
      <c r="P216" s="45"/>
      <c r="Q216" s="45"/>
      <c r="R216" s="45"/>
      <c r="S216" s="45"/>
      <c r="T216" s="45"/>
      <c r="U216" s="45"/>
      <c r="V216" s="45"/>
      <c r="W216" s="45"/>
      <c r="X216" s="45"/>
      <c r="Y216" s="45"/>
      <c r="Z216" s="45"/>
      <c r="AA216" s="45"/>
    </row>
    <row r="217" ht="24.75" customHeight="1">
      <c r="A217" s="44"/>
      <c r="B217" s="45"/>
      <c r="C217" s="45"/>
      <c r="D217" s="45"/>
      <c r="E217" s="44"/>
      <c r="F217" s="44"/>
      <c r="G217" s="45"/>
      <c r="H217" s="45"/>
      <c r="I217" s="45"/>
      <c r="J217" s="45"/>
      <c r="L217" s="45"/>
      <c r="M217" s="45"/>
      <c r="N217" s="45"/>
      <c r="O217" s="45"/>
      <c r="P217" s="45"/>
      <c r="Q217" s="45"/>
      <c r="R217" s="45"/>
      <c r="S217" s="45"/>
      <c r="T217" s="45"/>
      <c r="U217" s="45"/>
      <c r="V217" s="45"/>
      <c r="W217" s="45"/>
      <c r="X217" s="45"/>
      <c r="Y217" s="45"/>
      <c r="Z217" s="45"/>
      <c r="AA217" s="45"/>
    </row>
    <row r="218" ht="24.75" customHeight="1">
      <c r="A218" s="44"/>
      <c r="B218" s="45"/>
      <c r="C218" s="45"/>
      <c r="D218" s="45"/>
      <c r="E218" s="44"/>
      <c r="F218" s="44"/>
      <c r="G218" s="45"/>
      <c r="H218" s="45"/>
      <c r="I218" s="45"/>
      <c r="J218" s="45"/>
      <c r="L218" s="45"/>
      <c r="M218" s="45"/>
      <c r="N218" s="45"/>
      <c r="O218" s="45"/>
      <c r="P218" s="45"/>
      <c r="Q218" s="45"/>
      <c r="R218" s="45"/>
      <c r="S218" s="45"/>
      <c r="T218" s="45"/>
      <c r="U218" s="45"/>
      <c r="V218" s="45"/>
      <c r="W218" s="45"/>
      <c r="X218" s="45"/>
      <c r="Y218" s="45"/>
      <c r="Z218" s="45"/>
      <c r="AA218" s="45"/>
    </row>
    <row r="219" ht="24.75" customHeight="1">
      <c r="A219" s="44"/>
      <c r="B219" s="45"/>
      <c r="C219" s="45"/>
      <c r="D219" s="45"/>
      <c r="E219" s="44"/>
      <c r="F219" s="44"/>
      <c r="G219" s="45"/>
      <c r="H219" s="45"/>
      <c r="I219" s="45"/>
      <c r="J219" s="45"/>
      <c r="L219" s="45"/>
      <c r="M219" s="45"/>
      <c r="N219" s="45"/>
      <c r="O219" s="45"/>
      <c r="P219" s="45"/>
      <c r="Q219" s="45"/>
      <c r="R219" s="45"/>
      <c r="S219" s="45"/>
      <c r="T219" s="45"/>
      <c r="U219" s="45"/>
      <c r="V219" s="45"/>
      <c r="W219" s="45"/>
      <c r="X219" s="45"/>
      <c r="Y219" s="45"/>
      <c r="Z219" s="45"/>
      <c r="AA219" s="45"/>
    </row>
    <row r="220" ht="24.75" customHeight="1">
      <c r="A220" s="44"/>
      <c r="B220" s="45"/>
      <c r="C220" s="45"/>
      <c r="D220" s="45"/>
      <c r="E220" s="44"/>
      <c r="F220" s="44"/>
      <c r="G220" s="45"/>
      <c r="H220" s="45"/>
      <c r="I220" s="45"/>
      <c r="J220" s="45"/>
      <c r="L220" s="45"/>
      <c r="M220" s="45"/>
      <c r="N220" s="45"/>
      <c r="O220" s="45"/>
      <c r="P220" s="45"/>
      <c r="Q220" s="45"/>
      <c r="R220" s="45"/>
      <c r="S220" s="45"/>
      <c r="T220" s="45"/>
      <c r="U220" s="45"/>
      <c r="V220" s="45"/>
      <c r="W220" s="45"/>
      <c r="X220" s="45"/>
      <c r="Y220" s="45"/>
      <c r="Z220" s="45"/>
      <c r="AA220" s="45"/>
    </row>
    <row r="221" ht="24.75" customHeight="1">
      <c r="A221" s="44"/>
      <c r="B221" s="45"/>
      <c r="C221" s="45"/>
      <c r="D221" s="45"/>
      <c r="E221" s="44"/>
      <c r="F221" s="44"/>
      <c r="G221" s="45"/>
      <c r="H221" s="45"/>
      <c r="I221" s="45"/>
      <c r="J221" s="45"/>
      <c r="L221" s="45"/>
      <c r="M221" s="45"/>
      <c r="N221" s="45"/>
      <c r="O221" s="45"/>
      <c r="P221" s="45"/>
      <c r="Q221" s="45"/>
      <c r="R221" s="45"/>
      <c r="S221" s="45"/>
      <c r="T221" s="45"/>
      <c r="U221" s="45"/>
      <c r="V221" s="45"/>
      <c r="W221" s="45"/>
      <c r="X221" s="45"/>
      <c r="Y221" s="45"/>
      <c r="Z221" s="45"/>
      <c r="AA221" s="45"/>
    </row>
    <row r="222" ht="24.75" customHeight="1">
      <c r="A222" s="44"/>
      <c r="B222" s="45"/>
      <c r="C222" s="45"/>
      <c r="D222" s="45"/>
      <c r="E222" s="44"/>
      <c r="F222" s="44"/>
      <c r="G222" s="45"/>
      <c r="H222" s="45"/>
      <c r="I222" s="45"/>
      <c r="J222" s="45"/>
      <c r="L222" s="45"/>
      <c r="M222" s="45"/>
      <c r="N222" s="45"/>
      <c r="O222" s="45"/>
      <c r="P222" s="45"/>
      <c r="Q222" s="45"/>
      <c r="R222" s="45"/>
      <c r="S222" s="45"/>
      <c r="T222" s="45"/>
      <c r="U222" s="45"/>
      <c r="V222" s="45"/>
      <c r="W222" s="45"/>
      <c r="X222" s="45"/>
      <c r="Y222" s="45"/>
      <c r="Z222" s="45"/>
      <c r="AA222" s="45"/>
    </row>
    <row r="223" ht="24.75" customHeight="1">
      <c r="A223" s="44"/>
      <c r="B223" s="45"/>
      <c r="C223" s="45"/>
      <c r="D223" s="45"/>
      <c r="E223" s="44"/>
      <c r="F223" s="44"/>
      <c r="G223" s="45"/>
      <c r="H223" s="45"/>
      <c r="I223" s="45"/>
      <c r="J223" s="45"/>
      <c r="L223" s="45"/>
      <c r="M223" s="45"/>
      <c r="N223" s="45"/>
      <c r="O223" s="45"/>
      <c r="P223" s="45"/>
      <c r="Q223" s="45"/>
      <c r="R223" s="45"/>
      <c r="S223" s="45"/>
      <c r="T223" s="45"/>
      <c r="U223" s="45"/>
      <c r="V223" s="45"/>
      <c r="W223" s="45"/>
      <c r="X223" s="45"/>
      <c r="Y223" s="45"/>
      <c r="Z223" s="45"/>
      <c r="AA223" s="45"/>
    </row>
    <row r="224" ht="24.75" customHeight="1">
      <c r="A224" s="44"/>
      <c r="B224" s="45"/>
      <c r="C224" s="45"/>
      <c r="D224" s="45"/>
      <c r="E224" s="44"/>
      <c r="F224" s="44"/>
      <c r="G224" s="45"/>
      <c r="H224" s="45"/>
      <c r="I224" s="45"/>
      <c r="J224" s="45"/>
      <c r="L224" s="45"/>
      <c r="M224" s="45"/>
      <c r="N224" s="45"/>
      <c r="O224" s="45"/>
      <c r="P224" s="45"/>
      <c r="Q224" s="45"/>
      <c r="R224" s="45"/>
      <c r="S224" s="45"/>
      <c r="T224" s="45"/>
      <c r="U224" s="45"/>
      <c r="V224" s="45"/>
      <c r="W224" s="45"/>
      <c r="X224" s="45"/>
      <c r="Y224" s="45"/>
      <c r="Z224" s="45"/>
      <c r="AA224" s="45"/>
    </row>
    <row r="225" ht="24.75" customHeight="1">
      <c r="A225" s="44"/>
      <c r="B225" s="45"/>
      <c r="C225" s="45"/>
      <c r="D225" s="45"/>
      <c r="E225" s="44"/>
      <c r="F225" s="44"/>
      <c r="G225" s="45"/>
      <c r="H225" s="45"/>
      <c r="I225" s="45"/>
      <c r="J225" s="45"/>
      <c r="L225" s="45"/>
      <c r="M225" s="45"/>
      <c r="N225" s="45"/>
      <c r="O225" s="45"/>
      <c r="P225" s="45"/>
      <c r="Q225" s="45"/>
      <c r="R225" s="45"/>
      <c r="S225" s="45"/>
      <c r="T225" s="45"/>
      <c r="U225" s="45"/>
      <c r="V225" s="45"/>
      <c r="W225" s="45"/>
      <c r="X225" s="45"/>
      <c r="Y225" s="45"/>
      <c r="Z225" s="45"/>
      <c r="AA225" s="45"/>
    </row>
    <row r="226" ht="24.75" customHeight="1">
      <c r="A226" s="44"/>
      <c r="B226" s="45"/>
      <c r="C226" s="45"/>
      <c r="D226" s="45"/>
      <c r="E226" s="44"/>
      <c r="F226" s="44"/>
      <c r="G226" s="45"/>
      <c r="H226" s="45"/>
      <c r="I226" s="45"/>
      <c r="J226" s="45"/>
      <c r="L226" s="45"/>
      <c r="M226" s="45"/>
      <c r="N226" s="45"/>
      <c r="O226" s="45"/>
      <c r="P226" s="45"/>
      <c r="Q226" s="45"/>
      <c r="R226" s="45"/>
      <c r="S226" s="45"/>
      <c r="T226" s="45"/>
      <c r="U226" s="45"/>
      <c r="V226" s="45"/>
      <c r="W226" s="45"/>
      <c r="X226" s="45"/>
      <c r="Y226" s="45"/>
      <c r="Z226" s="45"/>
      <c r="AA226" s="45"/>
    </row>
    <row r="227" ht="24.75" customHeight="1">
      <c r="A227" s="44"/>
      <c r="B227" s="45"/>
      <c r="C227" s="45"/>
      <c r="D227" s="45"/>
      <c r="E227" s="44"/>
      <c r="F227" s="44"/>
      <c r="G227" s="45"/>
      <c r="H227" s="45"/>
      <c r="I227" s="45"/>
      <c r="J227" s="45"/>
      <c r="L227" s="45"/>
      <c r="M227" s="45"/>
      <c r="N227" s="45"/>
      <c r="O227" s="45"/>
      <c r="P227" s="45"/>
      <c r="Q227" s="45"/>
      <c r="R227" s="45"/>
      <c r="S227" s="45"/>
      <c r="T227" s="45"/>
      <c r="U227" s="45"/>
      <c r="V227" s="45"/>
      <c r="W227" s="45"/>
      <c r="X227" s="45"/>
      <c r="Y227" s="45"/>
      <c r="Z227" s="45"/>
      <c r="AA227" s="45"/>
    </row>
    <row r="228" ht="24.75" customHeight="1">
      <c r="A228" s="44"/>
      <c r="B228" s="45"/>
      <c r="C228" s="45"/>
      <c r="D228" s="45"/>
      <c r="E228" s="44"/>
      <c r="F228" s="44"/>
      <c r="G228" s="45"/>
      <c r="H228" s="45"/>
      <c r="I228" s="45"/>
      <c r="J228" s="45"/>
      <c r="L228" s="45"/>
      <c r="M228" s="45"/>
      <c r="N228" s="45"/>
      <c r="O228" s="45"/>
      <c r="P228" s="45"/>
      <c r="Q228" s="45"/>
      <c r="R228" s="45"/>
      <c r="S228" s="45"/>
      <c r="T228" s="45"/>
      <c r="U228" s="45"/>
      <c r="V228" s="45"/>
      <c r="W228" s="45"/>
      <c r="X228" s="45"/>
      <c r="Y228" s="45"/>
      <c r="Z228" s="45"/>
      <c r="AA228" s="45"/>
    </row>
    <row r="229" ht="24.75" customHeight="1">
      <c r="A229" s="44"/>
      <c r="B229" s="45"/>
      <c r="C229" s="45"/>
      <c r="D229" s="45"/>
      <c r="E229" s="44"/>
      <c r="F229" s="44"/>
      <c r="G229" s="45"/>
      <c r="H229" s="45"/>
      <c r="I229" s="45"/>
      <c r="J229" s="45"/>
      <c r="L229" s="45"/>
      <c r="M229" s="45"/>
      <c r="N229" s="45"/>
      <c r="O229" s="45"/>
      <c r="P229" s="45"/>
      <c r="Q229" s="45"/>
      <c r="R229" s="45"/>
      <c r="S229" s="45"/>
      <c r="T229" s="45"/>
      <c r="U229" s="45"/>
      <c r="V229" s="45"/>
      <c r="W229" s="45"/>
      <c r="X229" s="45"/>
      <c r="Y229" s="45"/>
      <c r="Z229" s="45"/>
      <c r="AA229" s="45"/>
    </row>
    <row r="230" ht="24.75" customHeight="1">
      <c r="A230" s="44"/>
      <c r="B230" s="45"/>
      <c r="C230" s="45"/>
      <c r="D230" s="45"/>
      <c r="E230" s="44"/>
      <c r="F230" s="44"/>
      <c r="G230" s="45"/>
      <c r="H230" s="45"/>
      <c r="I230" s="45"/>
      <c r="J230" s="45"/>
      <c r="L230" s="45"/>
      <c r="M230" s="45"/>
      <c r="N230" s="45"/>
      <c r="O230" s="45"/>
      <c r="P230" s="45"/>
      <c r="Q230" s="45"/>
      <c r="R230" s="45"/>
      <c r="S230" s="45"/>
      <c r="T230" s="45"/>
      <c r="U230" s="45"/>
      <c r="V230" s="45"/>
      <c r="W230" s="45"/>
      <c r="X230" s="45"/>
      <c r="Y230" s="45"/>
      <c r="Z230" s="45"/>
      <c r="AA230" s="45"/>
    </row>
    <row r="231" ht="24.75" customHeight="1">
      <c r="A231" s="44"/>
      <c r="B231" s="45"/>
      <c r="C231" s="45"/>
      <c r="D231" s="45"/>
      <c r="E231" s="44"/>
      <c r="F231" s="44"/>
      <c r="G231" s="45"/>
      <c r="H231" s="45"/>
      <c r="I231" s="45"/>
      <c r="J231" s="45"/>
      <c r="L231" s="45"/>
      <c r="M231" s="45"/>
      <c r="N231" s="45"/>
      <c r="O231" s="45"/>
      <c r="P231" s="45"/>
      <c r="Q231" s="45"/>
      <c r="R231" s="45"/>
      <c r="S231" s="45"/>
      <c r="T231" s="45"/>
      <c r="U231" s="45"/>
      <c r="V231" s="45"/>
      <c r="W231" s="45"/>
      <c r="X231" s="45"/>
      <c r="Y231" s="45"/>
      <c r="Z231" s="45"/>
      <c r="AA231" s="45"/>
    </row>
    <row r="232" ht="24.75" customHeight="1">
      <c r="A232" s="44"/>
      <c r="B232" s="45"/>
      <c r="C232" s="45"/>
      <c r="D232" s="45"/>
      <c r="E232" s="44"/>
      <c r="F232" s="44"/>
      <c r="G232" s="45"/>
      <c r="H232" s="45"/>
      <c r="I232" s="45"/>
      <c r="J232" s="45"/>
      <c r="L232" s="45"/>
      <c r="M232" s="45"/>
      <c r="N232" s="45"/>
      <c r="O232" s="45"/>
      <c r="P232" s="45"/>
      <c r="Q232" s="45"/>
      <c r="R232" s="45"/>
      <c r="S232" s="45"/>
      <c r="T232" s="45"/>
      <c r="U232" s="45"/>
      <c r="V232" s="45"/>
      <c r="W232" s="45"/>
      <c r="X232" s="45"/>
      <c r="Y232" s="45"/>
      <c r="Z232" s="45"/>
      <c r="AA232" s="45"/>
    </row>
    <row r="233" ht="24.75" customHeight="1">
      <c r="A233" s="44"/>
      <c r="B233" s="45"/>
      <c r="C233" s="45"/>
      <c r="D233" s="45"/>
      <c r="E233" s="44"/>
      <c r="F233" s="44"/>
      <c r="G233" s="45"/>
      <c r="H233" s="45"/>
      <c r="I233" s="45"/>
      <c r="J233" s="45"/>
      <c r="L233" s="45"/>
      <c r="M233" s="45"/>
      <c r="N233" s="45"/>
      <c r="O233" s="45"/>
      <c r="P233" s="45"/>
      <c r="Q233" s="45"/>
      <c r="R233" s="45"/>
      <c r="S233" s="45"/>
      <c r="T233" s="45"/>
      <c r="U233" s="45"/>
      <c r="V233" s="45"/>
      <c r="W233" s="45"/>
      <c r="X233" s="45"/>
      <c r="Y233" s="45"/>
      <c r="Z233" s="45"/>
      <c r="AA233" s="45"/>
    </row>
    <row r="234" ht="24.75" customHeight="1">
      <c r="A234" s="44"/>
      <c r="B234" s="45"/>
      <c r="C234" s="45"/>
      <c r="D234" s="45"/>
      <c r="E234" s="44"/>
      <c r="F234" s="44"/>
      <c r="G234" s="45"/>
      <c r="H234" s="45"/>
      <c r="I234" s="45"/>
      <c r="J234" s="45"/>
      <c r="L234" s="45"/>
      <c r="M234" s="45"/>
      <c r="N234" s="45"/>
      <c r="O234" s="45"/>
      <c r="P234" s="45"/>
      <c r="Q234" s="45"/>
      <c r="R234" s="45"/>
      <c r="S234" s="45"/>
      <c r="T234" s="45"/>
      <c r="U234" s="45"/>
      <c r="V234" s="45"/>
      <c r="W234" s="45"/>
      <c r="X234" s="45"/>
      <c r="Y234" s="45"/>
      <c r="Z234" s="45"/>
      <c r="AA234" s="45"/>
    </row>
    <row r="235" ht="24.75" customHeight="1">
      <c r="A235" s="44"/>
      <c r="B235" s="45"/>
      <c r="C235" s="45"/>
      <c r="D235" s="45"/>
      <c r="E235" s="44"/>
      <c r="F235" s="44"/>
      <c r="G235" s="45"/>
      <c r="H235" s="45"/>
      <c r="I235" s="45"/>
      <c r="J235" s="45"/>
      <c r="L235" s="45"/>
      <c r="M235" s="45"/>
      <c r="N235" s="45"/>
      <c r="O235" s="45"/>
      <c r="P235" s="45"/>
      <c r="Q235" s="45"/>
      <c r="R235" s="45"/>
      <c r="S235" s="45"/>
      <c r="T235" s="45"/>
      <c r="U235" s="45"/>
      <c r="V235" s="45"/>
      <c r="W235" s="45"/>
      <c r="X235" s="45"/>
      <c r="Y235" s="45"/>
      <c r="Z235" s="45"/>
      <c r="AA235" s="45"/>
    </row>
    <row r="236" ht="24.75" customHeight="1">
      <c r="A236" s="44"/>
      <c r="B236" s="45"/>
      <c r="C236" s="45"/>
      <c r="D236" s="45"/>
      <c r="E236" s="44"/>
      <c r="F236" s="44"/>
      <c r="G236" s="45"/>
      <c r="H236" s="45"/>
      <c r="I236" s="45"/>
      <c r="J236" s="45"/>
      <c r="L236" s="45"/>
      <c r="M236" s="45"/>
      <c r="N236" s="45"/>
      <c r="O236" s="45"/>
      <c r="P236" s="45"/>
      <c r="Q236" s="45"/>
      <c r="R236" s="45"/>
      <c r="S236" s="45"/>
      <c r="T236" s="45"/>
      <c r="U236" s="45"/>
      <c r="V236" s="45"/>
      <c r="W236" s="45"/>
      <c r="X236" s="45"/>
      <c r="Y236" s="45"/>
      <c r="Z236" s="45"/>
      <c r="AA236" s="45"/>
    </row>
    <row r="237" ht="24.75" customHeight="1">
      <c r="A237" s="44"/>
      <c r="B237" s="45"/>
      <c r="C237" s="45"/>
      <c r="D237" s="45"/>
      <c r="E237" s="44"/>
      <c r="F237" s="44"/>
      <c r="G237" s="45"/>
      <c r="H237" s="45"/>
      <c r="I237" s="45"/>
      <c r="J237" s="45"/>
      <c r="L237" s="45"/>
      <c r="M237" s="45"/>
      <c r="N237" s="45"/>
      <c r="O237" s="45"/>
      <c r="P237" s="45"/>
      <c r="Q237" s="45"/>
      <c r="R237" s="45"/>
      <c r="S237" s="45"/>
      <c r="T237" s="45"/>
      <c r="U237" s="45"/>
      <c r="V237" s="45"/>
      <c r="W237" s="45"/>
      <c r="X237" s="45"/>
      <c r="Y237" s="45"/>
      <c r="Z237" s="45"/>
      <c r="AA237" s="45"/>
    </row>
    <row r="238" ht="24.75" customHeight="1">
      <c r="A238" s="44"/>
      <c r="B238" s="45"/>
      <c r="C238" s="45"/>
      <c r="D238" s="45"/>
      <c r="E238" s="44"/>
      <c r="F238" s="44"/>
      <c r="G238" s="45"/>
      <c r="H238" s="45"/>
      <c r="I238" s="45"/>
      <c r="J238" s="45"/>
      <c r="L238" s="45"/>
      <c r="M238" s="45"/>
      <c r="N238" s="45"/>
      <c r="O238" s="45"/>
      <c r="P238" s="45"/>
      <c r="Q238" s="45"/>
      <c r="R238" s="45"/>
      <c r="S238" s="45"/>
      <c r="T238" s="45"/>
      <c r="U238" s="45"/>
      <c r="V238" s="45"/>
      <c r="W238" s="45"/>
      <c r="X238" s="45"/>
      <c r="Y238" s="45"/>
      <c r="Z238" s="45"/>
      <c r="AA238" s="45"/>
    </row>
    <row r="239" ht="24.75" customHeight="1">
      <c r="A239" s="44"/>
      <c r="B239" s="45"/>
      <c r="C239" s="45"/>
      <c r="D239" s="45"/>
      <c r="E239" s="44"/>
      <c r="F239" s="44"/>
      <c r="G239" s="45"/>
      <c r="H239" s="45"/>
      <c r="I239" s="45"/>
      <c r="J239" s="45"/>
      <c r="L239" s="45"/>
      <c r="M239" s="45"/>
      <c r="N239" s="45"/>
      <c r="O239" s="45"/>
      <c r="P239" s="45"/>
      <c r="Q239" s="45"/>
      <c r="R239" s="45"/>
      <c r="S239" s="45"/>
      <c r="T239" s="45"/>
      <c r="U239" s="45"/>
      <c r="V239" s="45"/>
      <c r="W239" s="45"/>
      <c r="X239" s="45"/>
      <c r="Y239" s="45"/>
      <c r="Z239" s="45"/>
      <c r="AA239" s="45"/>
    </row>
    <row r="240" ht="24.75" customHeight="1">
      <c r="A240" s="44"/>
      <c r="B240" s="45"/>
      <c r="C240" s="45"/>
      <c r="D240" s="45"/>
      <c r="E240" s="44"/>
      <c r="F240" s="44"/>
      <c r="G240" s="45"/>
      <c r="H240" s="45"/>
      <c r="I240" s="45"/>
      <c r="J240" s="45"/>
      <c r="L240" s="45"/>
      <c r="M240" s="45"/>
      <c r="N240" s="45"/>
      <c r="O240" s="45"/>
      <c r="P240" s="45"/>
      <c r="Q240" s="45"/>
      <c r="R240" s="45"/>
      <c r="S240" s="45"/>
      <c r="T240" s="45"/>
      <c r="U240" s="45"/>
      <c r="V240" s="45"/>
      <c r="W240" s="45"/>
      <c r="X240" s="45"/>
      <c r="Y240" s="45"/>
      <c r="Z240" s="45"/>
      <c r="AA240" s="45"/>
    </row>
    <row r="241" ht="24.75" customHeight="1">
      <c r="A241" s="44"/>
      <c r="B241" s="45"/>
      <c r="C241" s="45"/>
      <c r="D241" s="45"/>
      <c r="E241" s="44"/>
      <c r="F241" s="44"/>
      <c r="G241" s="45"/>
      <c r="H241" s="45"/>
      <c r="I241" s="45"/>
      <c r="J241" s="45"/>
      <c r="L241" s="45"/>
      <c r="M241" s="45"/>
      <c r="N241" s="45"/>
      <c r="O241" s="45"/>
      <c r="P241" s="45"/>
      <c r="Q241" s="45"/>
      <c r="R241" s="45"/>
      <c r="S241" s="45"/>
      <c r="T241" s="45"/>
      <c r="U241" s="45"/>
      <c r="V241" s="45"/>
      <c r="W241" s="45"/>
      <c r="X241" s="45"/>
      <c r="Y241" s="45"/>
      <c r="Z241" s="45"/>
      <c r="AA241" s="45"/>
    </row>
    <row r="242" ht="24.75" customHeight="1">
      <c r="A242" s="44"/>
      <c r="B242" s="45"/>
      <c r="C242" s="45"/>
      <c r="D242" s="45"/>
      <c r="E242" s="44"/>
      <c r="F242" s="44"/>
      <c r="G242" s="45"/>
      <c r="H242" s="45"/>
      <c r="I242" s="45"/>
      <c r="J242" s="45"/>
      <c r="L242" s="45"/>
      <c r="M242" s="45"/>
      <c r="N242" s="45"/>
      <c r="O242" s="45"/>
      <c r="P242" s="45"/>
      <c r="Q242" s="45"/>
      <c r="R242" s="45"/>
      <c r="S242" s="45"/>
      <c r="T242" s="45"/>
      <c r="U242" s="45"/>
      <c r="V242" s="45"/>
      <c r="W242" s="45"/>
      <c r="X242" s="45"/>
      <c r="Y242" s="45"/>
      <c r="Z242" s="45"/>
      <c r="AA242" s="45"/>
    </row>
    <row r="243" ht="24.75" customHeight="1">
      <c r="A243" s="44"/>
      <c r="B243" s="45"/>
      <c r="C243" s="45"/>
      <c r="D243" s="45"/>
      <c r="E243" s="44"/>
      <c r="F243" s="44"/>
      <c r="G243" s="45"/>
      <c r="H243" s="45"/>
      <c r="I243" s="45"/>
      <c r="J243" s="45"/>
      <c r="L243" s="45"/>
      <c r="M243" s="45"/>
      <c r="N243" s="45"/>
      <c r="O243" s="45"/>
      <c r="P243" s="45"/>
      <c r="Q243" s="45"/>
      <c r="R243" s="45"/>
      <c r="S243" s="45"/>
      <c r="T243" s="45"/>
      <c r="U243" s="45"/>
      <c r="V243" s="45"/>
      <c r="W243" s="45"/>
      <c r="X243" s="45"/>
      <c r="Y243" s="45"/>
      <c r="Z243" s="45"/>
      <c r="AA243" s="45"/>
    </row>
    <row r="244" ht="24.75" customHeight="1">
      <c r="A244" s="44"/>
      <c r="B244" s="45"/>
      <c r="C244" s="45"/>
      <c r="D244" s="45"/>
      <c r="E244" s="44"/>
      <c r="F244" s="44"/>
      <c r="G244" s="45"/>
      <c r="H244" s="45"/>
      <c r="I244" s="45"/>
      <c r="J244" s="45"/>
      <c r="L244" s="45"/>
      <c r="M244" s="45"/>
      <c r="N244" s="45"/>
      <c r="O244" s="45"/>
      <c r="P244" s="45"/>
      <c r="Q244" s="45"/>
      <c r="R244" s="45"/>
      <c r="S244" s="45"/>
      <c r="T244" s="45"/>
      <c r="U244" s="45"/>
      <c r="V244" s="45"/>
      <c r="W244" s="45"/>
      <c r="X244" s="45"/>
      <c r="Y244" s="45"/>
      <c r="Z244" s="45"/>
      <c r="AA244" s="45"/>
    </row>
    <row r="245" ht="24.75" customHeight="1">
      <c r="A245" s="44"/>
      <c r="B245" s="45"/>
      <c r="C245" s="45"/>
      <c r="D245" s="45"/>
      <c r="E245" s="44"/>
      <c r="F245" s="44"/>
      <c r="G245" s="45"/>
      <c r="H245" s="45"/>
      <c r="I245" s="45"/>
      <c r="J245" s="45"/>
      <c r="L245" s="45"/>
      <c r="M245" s="45"/>
      <c r="N245" s="45"/>
      <c r="O245" s="45"/>
      <c r="P245" s="45"/>
      <c r="Q245" s="45"/>
      <c r="R245" s="45"/>
      <c r="S245" s="45"/>
      <c r="T245" s="45"/>
      <c r="U245" s="45"/>
      <c r="V245" s="45"/>
      <c r="W245" s="45"/>
      <c r="X245" s="45"/>
      <c r="Y245" s="45"/>
      <c r="Z245" s="45"/>
      <c r="AA245" s="45"/>
    </row>
    <row r="246" ht="24.75" customHeight="1">
      <c r="A246" s="44"/>
      <c r="B246" s="45"/>
      <c r="C246" s="45"/>
      <c r="D246" s="45"/>
      <c r="E246" s="44"/>
      <c r="F246" s="44"/>
      <c r="G246" s="45"/>
      <c r="H246" s="45"/>
      <c r="I246" s="45"/>
      <c r="J246" s="45"/>
      <c r="L246" s="45"/>
      <c r="M246" s="45"/>
      <c r="N246" s="45"/>
      <c r="O246" s="45"/>
      <c r="P246" s="45"/>
      <c r="Q246" s="45"/>
      <c r="R246" s="45"/>
      <c r="S246" s="45"/>
      <c r="T246" s="45"/>
      <c r="U246" s="45"/>
      <c r="V246" s="45"/>
      <c r="W246" s="45"/>
      <c r="X246" s="45"/>
      <c r="Y246" s="45"/>
      <c r="Z246" s="45"/>
      <c r="AA246" s="45"/>
    </row>
    <row r="247" ht="24.75" customHeight="1">
      <c r="A247" s="44"/>
      <c r="B247" s="45"/>
      <c r="C247" s="45"/>
      <c r="D247" s="45"/>
      <c r="E247" s="44"/>
      <c r="F247" s="44"/>
      <c r="G247" s="45"/>
      <c r="H247" s="45"/>
      <c r="I247" s="45"/>
      <c r="J247" s="45"/>
      <c r="L247" s="45"/>
      <c r="M247" s="45"/>
      <c r="N247" s="45"/>
      <c r="O247" s="45"/>
      <c r="P247" s="45"/>
      <c r="Q247" s="45"/>
      <c r="R247" s="45"/>
      <c r="S247" s="45"/>
      <c r="T247" s="45"/>
      <c r="U247" s="45"/>
      <c r="V247" s="45"/>
      <c r="W247" s="45"/>
      <c r="X247" s="45"/>
      <c r="Y247" s="45"/>
      <c r="Z247" s="45"/>
      <c r="AA247" s="45"/>
    </row>
    <row r="248" ht="24.75" customHeight="1">
      <c r="A248" s="44"/>
      <c r="B248" s="45"/>
      <c r="C248" s="45"/>
      <c r="D248" s="45"/>
      <c r="E248" s="44"/>
      <c r="F248" s="44"/>
      <c r="G248" s="45"/>
      <c r="H248" s="45"/>
      <c r="I248" s="45"/>
      <c r="J248" s="45"/>
      <c r="L248" s="45"/>
      <c r="M248" s="45"/>
      <c r="N248" s="45"/>
      <c r="O248" s="45"/>
      <c r="P248" s="45"/>
      <c r="Q248" s="45"/>
      <c r="R248" s="45"/>
      <c r="S248" s="45"/>
      <c r="T248" s="45"/>
      <c r="U248" s="45"/>
      <c r="V248" s="45"/>
      <c r="W248" s="45"/>
      <c r="X248" s="45"/>
      <c r="Y248" s="45"/>
      <c r="Z248" s="45"/>
      <c r="AA248" s="45"/>
    </row>
    <row r="249" ht="24.75" customHeight="1">
      <c r="A249" s="44"/>
      <c r="B249" s="45"/>
      <c r="C249" s="45"/>
      <c r="D249" s="45"/>
      <c r="E249" s="44"/>
      <c r="F249" s="44"/>
      <c r="G249" s="45"/>
      <c r="H249" s="45"/>
      <c r="I249" s="45"/>
      <c r="J249" s="45"/>
      <c r="L249" s="45"/>
      <c r="M249" s="45"/>
      <c r="N249" s="45"/>
      <c r="O249" s="45"/>
      <c r="P249" s="45"/>
      <c r="Q249" s="45"/>
      <c r="R249" s="45"/>
      <c r="S249" s="45"/>
      <c r="T249" s="45"/>
      <c r="U249" s="45"/>
      <c r="V249" s="45"/>
      <c r="W249" s="45"/>
      <c r="X249" s="45"/>
      <c r="Y249" s="45"/>
      <c r="Z249" s="45"/>
      <c r="AA249" s="45"/>
    </row>
    <row r="250" ht="24.75" customHeight="1">
      <c r="A250" s="44"/>
      <c r="B250" s="45"/>
      <c r="C250" s="45"/>
      <c r="D250" s="45"/>
      <c r="E250" s="44"/>
      <c r="F250" s="44"/>
      <c r="G250" s="45"/>
      <c r="H250" s="45"/>
      <c r="I250" s="45"/>
      <c r="J250" s="45"/>
      <c r="L250" s="45"/>
      <c r="M250" s="45"/>
      <c r="N250" s="45"/>
      <c r="O250" s="45"/>
      <c r="P250" s="45"/>
      <c r="Q250" s="45"/>
      <c r="R250" s="45"/>
      <c r="S250" s="45"/>
      <c r="T250" s="45"/>
      <c r="U250" s="45"/>
      <c r="V250" s="45"/>
      <c r="W250" s="45"/>
      <c r="X250" s="45"/>
      <c r="Y250" s="45"/>
      <c r="Z250" s="45"/>
      <c r="AA250" s="45"/>
    </row>
    <row r="251" ht="24.75" customHeight="1">
      <c r="A251" s="44"/>
      <c r="B251" s="45"/>
      <c r="C251" s="45"/>
      <c r="D251" s="45"/>
      <c r="E251" s="44"/>
      <c r="F251" s="44"/>
      <c r="G251" s="45"/>
      <c r="H251" s="45"/>
      <c r="I251" s="45"/>
      <c r="J251" s="45"/>
      <c r="L251" s="45"/>
      <c r="M251" s="45"/>
      <c r="N251" s="45"/>
      <c r="O251" s="45"/>
      <c r="P251" s="45"/>
      <c r="Q251" s="45"/>
      <c r="R251" s="45"/>
      <c r="S251" s="45"/>
      <c r="T251" s="45"/>
      <c r="U251" s="45"/>
      <c r="V251" s="45"/>
      <c r="W251" s="45"/>
      <c r="X251" s="45"/>
      <c r="Y251" s="45"/>
      <c r="Z251" s="45"/>
      <c r="AA251" s="45"/>
    </row>
    <row r="252" ht="24.75" customHeight="1">
      <c r="A252" s="44"/>
      <c r="B252" s="45"/>
      <c r="C252" s="45"/>
      <c r="D252" s="45"/>
      <c r="E252" s="44"/>
      <c r="F252" s="44"/>
      <c r="G252" s="45"/>
      <c r="H252" s="45"/>
      <c r="I252" s="45"/>
      <c r="J252" s="45"/>
      <c r="L252" s="45"/>
      <c r="M252" s="45"/>
      <c r="N252" s="45"/>
      <c r="O252" s="45"/>
      <c r="P252" s="45"/>
      <c r="Q252" s="45"/>
      <c r="R252" s="45"/>
      <c r="S252" s="45"/>
      <c r="T252" s="45"/>
      <c r="U252" s="45"/>
      <c r="V252" s="45"/>
      <c r="W252" s="45"/>
      <c r="X252" s="45"/>
      <c r="Y252" s="45"/>
      <c r="Z252" s="45"/>
      <c r="AA252" s="45"/>
    </row>
    <row r="253" ht="24.75" customHeight="1">
      <c r="A253" s="44"/>
      <c r="B253" s="45"/>
      <c r="C253" s="45"/>
      <c r="D253" s="45"/>
      <c r="E253" s="44"/>
      <c r="F253" s="44"/>
      <c r="G253" s="45"/>
      <c r="H253" s="45"/>
      <c r="I253" s="45"/>
      <c r="J253" s="45"/>
      <c r="L253" s="45"/>
      <c r="M253" s="45"/>
      <c r="N253" s="45"/>
      <c r="O253" s="45"/>
      <c r="P253" s="45"/>
      <c r="Q253" s="45"/>
      <c r="R253" s="45"/>
      <c r="S253" s="45"/>
      <c r="T253" s="45"/>
      <c r="U253" s="45"/>
      <c r="V253" s="45"/>
      <c r="W253" s="45"/>
      <c r="X253" s="45"/>
      <c r="Y253" s="45"/>
      <c r="Z253" s="45"/>
      <c r="AA253" s="45"/>
    </row>
    <row r="254" ht="24.75" customHeight="1">
      <c r="A254" s="44"/>
      <c r="B254" s="45"/>
      <c r="C254" s="45"/>
      <c r="D254" s="45"/>
      <c r="E254" s="44"/>
      <c r="F254" s="44"/>
      <c r="G254" s="45"/>
      <c r="H254" s="45"/>
      <c r="I254" s="45"/>
      <c r="J254" s="45"/>
      <c r="L254" s="45"/>
      <c r="M254" s="45"/>
      <c r="N254" s="45"/>
      <c r="O254" s="45"/>
      <c r="P254" s="45"/>
      <c r="Q254" s="45"/>
      <c r="R254" s="45"/>
      <c r="S254" s="45"/>
      <c r="T254" s="45"/>
      <c r="U254" s="45"/>
      <c r="V254" s="45"/>
      <c r="W254" s="45"/>
      <c r="X254" s="45"/>
      <c r="Y254" s="45"/>
      <c r="Z254" s="45"/>
      <c r="AA254" s="45"/>
    </row>
    <row r="255" ht="24.75" customHeight="1">
      <c r="A255" s="44"/>
      <c r="B255" s="45"/>
      <c r="C255" s="45"/>
      <c r="D255" s="45"/>
      <c r="E255" s="44"/>
      <c r="F255" s="44"/>
      <c r="G255" s="45"/>
      <c r="H255" s="45"/>
      <c r="I255" s="45"/>
      <c r="J255" s="45"/>
      <c r="L255" s="45"/>
      <c r="M255" s="45"/>
      <c r="N255" s="45"/>
      <c r="O255" s="45"/>
      <c r="P255" s="45"/>
      <c r="Q255" s="45"/>
      <c r="R255" s="45"/>
      <c r="S255" s="45"/>
      <c r="T255" s="45"/>
      <c r="U255" s="45"/>
      <c r="V255" s="45"/>
      <c r="W255" s="45"/>
      <c r="X255" s="45"/>
      <c r="Y255" s="45"/>
      <c r="Z255" s="45"/>
      <c r="AA255" s="45"/>
    </row>
    <row r="256" ht="24.75" customHeight="1">
      <c r="A256" s="44"/>
      <c r="B256" s="45"/>
      <c r="C256" s="45"/>
      <c r="D256" s="45"/>
      <c r="E256" s="44"/>
      <c r="F256" s="44"/>
      <c r="G256" s="45"/>
      <c r="H256" s="45"/>
      <c r="I256" s="45"/>
      <c r="J256" s="45"/>
      <c r="L256" s="45"/>
      <c r="M256" s="45"/>
      <c r="N256" s="45"/>
      <c r="O256" s="45"/>
      <c r="P256" s="45"/>
      <c r="Q256" s="45"/>
      <c r="R256" s="45"/>
      <c r="S256" s="45"/>
      <c r="T256" s="45"/>
      <c r="U256" s="45"/>
      <c r="V256" s="45"/>
      <c r="W256" s="45"/>
      <c r="X256" s="45"/>
      <c r="Y256" s="45"/>
      <c r="Z256" s="45"/>
      <c r="AA256" s="45"/>
    </row>
    <row r="257" ht="24.75" customHeight="1">
      <c r="A257" s="44"/>
      <c r="B257" s="45"/>
      <c r="C257" s="45"/>
      <c r="D257" s="45"/>
      <c r="E257" s="44"/>
      <c r="F257" s="44"/>
      <c r="G257" s="45"/>
      <c r="H257" s="45"/>
      <c r="I257" s="45"/>
      <c r="J257" s="45"/>
      <c r="L257" s="45"/>
      <c r="M257" s="45"/>
      <c r="N257" s="45"/>
      <c r="O257" s="45"/>
      <c r="P257" s="45"/>
      <c r="Q257" s="45"/>
      <c r="R257" s="45"/>
      <c r="S257" s="45"/>
      <c r="T257" s="45"/>
      <c r="U257" s="45"/>
      <c r="V257" s="45"/>
      <c r="W257" s="45"/>
      <c r="X257" s="45"/>
      <c r="Y257" s="45"/>
      <c r="Z257" s="45"/>
      <c r="AA257" s="45"/>
    </row>
    <row r="258" ht="24.75" customHeight="1">
      <c r="A258" s="44"/>
      <c r="B258" s="45"/>
      <c r="C258" s="45"/>
      <c r="D258" s="45"/>
      <c r="E258" s="44"/>
      <c r="F258" s="44"/>
      <c r="G258" s="45"/>
      <c r="H258" s="45"/>
      <c r="I258" s="45"/>
      <c r="J258" s="45"/>
      <c r="L258" s="45"/>
      <c r="M258" s="45"/>
      <c r="N258" s="45"/>
      <c r="O258" s="45"/>
      <c r="P258" s="45"/>
      <c r="Q258" s="45"/>
      <c r="R258" s="45"/>
      <c r="S258" s="45"/>
      <c r="T258" s="45"/>
      <c r="U258" s="45"/>
      <c r="V258" s="45"/>
      <c r="W258" s="45"/>
      <c r="X258" s="45"/>
      <c r="Y258" s="45"/>
      <c r="Z258" s="45"/>
      <c r="AA258" s="45"/>
    </row>
    <row r="259" ht="24.75" customHeight="1">
      <c r="A259" s="44"/>
      <c r="B259" s="45"/>
      <c r="C259" s="45"/>
      <c r="D259" s="45"/>
      <c r="E259" s="44"/>
      <c r="F259" s="44"/>
      <c r="G259" s="45"/>
      <c r="H259" s="45"/>
      <c r="I259" s="45"/>
      <c r="J259" s="45"/>
      <c r="L259" s="45"/>
      <c r="M259" s="45"/>
      <c r="N259" s="45"/>
      <c r="O259" s="45"/>
      <c r="P259" s="45"/>
      <c r="Q259" s="45"/>
      <c r="R259" s="45"/>
      <c r="S259" s="45"/>
      <c r="T259" s="45"/>
      <c r="U259" s="45"/>
      <c r="V259" s="45"/>
      <c r="W259" s="45"/>
      <c r="X259" s="45"/>
      <c r="Y259" s="45"/>
      <c r="Z259" s="45"/>
      <c r="AA259" s="45"/>
    </row>
    <row r="260" ht="24.75" customHeight="1">
      <c r="A260" s="44"/>
      <c r="B260" s="45"/>
      <c r="C260" s="45"/>
      <c r="D260" s="45"/>
      <c r="E260" s="44"/>
      <c r="F260" s="44"/>
      <c r="G260" s="45"/>
      <c r="H260" s="45"/>
      <c r="I260" s="45"/>
      <c r="J260" s="45"/>
      <c r="L260" s="45"/>
      <c r="M260" s="45"/>
      <c r="N260" s="45"/>
      <c r="O260" s="45"/>
      <c r="P260" s="45"/>
      <c r="Q260" s="45"/>
      <c r="R260" s="45"/>
      <c r="S260" s="45"/>
      <c r="T260" s="45"/>
      <c r="U260" s="45"/>
      <c r="V260" s="45"/>
      <c r="W260" s="45"/>
      <c r="X260" s="45"/>
      <c r="Y260" s="45"/>
      <c r="Z260" s="45"/>
      <c r="AA260" s="45"/>
    </row>
    <row r="261" ht="24.75" customHeight="1">
      <c r="A261" s="44"/>
      <c r="B261" s="45"/>
      <c r="C261" s="45"/>
      <c r="D261" s="45"/>
      <c r="E261" s="44"/>
      <c r="F261" s="44"/>
      <c r="G261" s="45"/>
      <c r="H261" s="45"/>
      <c r="I261" s="45"/>
      <c r="J261" s="45"/>
      <c r="L261" s="45"/>
      <c r="M261" s="45"/>
      <c r="N261" s="45"/>
      <c r="O261" s="45"/>
      <c r="P261" s="45"/>
      <c r="Q261" s="45"/>
      <c r="R261" s="45"/>
      <c r="S261" s="45"/>
      <c r="T261" s="45"/>
      <c r="U261" s="45"/>
      <c r="V261" s="45"/>
      <c r="W261" s="45"/>
      <c r="X261" s="45"/>
      <c r="Y261" s="45"/>
      <c r="Z261" s="45"/>
      <c r="AA261" s="45"/>
    </row>
    <row r="262" ht="24.75" customHeight="1">
      <c r="A262" s="44"/>
      <c r="B262" s="45"/>
      <c r="C262" s="45"/>
      <c r="D262" s="45"/>
      <c r="E262" s="44"/>
      <c r="F262" s="44"/>
      <c r="G262" s="45"/>
      <c r="H262" s="45"/>
      <c r="I262" s="45"/>
      <c r="J262" s="45"/>
      <c r="L262" s="45"/>
      <c r="M262" s="45"/>
      <c r="N262" s="45"/>
      <c r="O262" s="45"/>
      <c r="P262" s="45"/>
      <c r="Q262" s="45"/>
      <c r="R262" s="45"/>
      <c r="S262" s="45"/>
      <c r="T262" s="45"/>
      <c r="U262" s="45"/>
      <c r="V262" s="45"/>
      <c r="W262" s="45"/>
      <c r="X262" s="45"/>
      <c r="Y262" s="45"/>
      <c r="Z262" s="45"/>
      <c r="AA262" s="45"/>
    </row>
    <row r="263" ht="24.75" customHeight="1">
      <c r="A263" s="44"/>
      <c r="B263" s="45"/>
      <c r="C263" s="45"/>
      <c r="D263" s="45"/>
      <c r="E263" s="44"/>
      <c r="F263" s="44"/>
      <c r="G263" s="45"/>
      <c r="H263" s="45"/>
      <c r="I263" s="45"/>
      <c r="J263" s="45"/>
      <c r="L263" s="45"/>
      <c r="M263" s="45"/>
      <c r="N263" s="45"/>
      <c r="O263" s="45"/>
      <c r="P263" s="45"/>
      <c r="Q263" s="45"/>
      <c r="R263" s="45"/>
      <c r="S263" s="45"/>
      <c r="T263" s="45"/>
      <c r="U263" s="45"/>
      <c r="V263" s="45"/>
      <c r="W263" s="45"/>
      <c r="X263" s="45"/>
      <c r="Y263" s="45"/>
      <c r="Z263" s="45"/>
      <c r="AA263" s="45"/>
    </row>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24.75" customHeight="1"/>
    <row r="292" ht="24.75" customHeight="1"/>
    <row r="293" ht="24.75" customHeight="1"/>
    <row r="294" ht="24.75" customHeight="1"/>
    <row r="295" ht="24.75" customHeight="1"/>
    <row r="296" ht="24.75" customHeight="1"/>
    <row r="297" ht="24.75" customHeight="1"/>
    <row r="298" ht="24.75" customHeight="1"/>
    <row r="299" ht="24.75" customHeight="1"/>
    <row r="300" ht="24.75" customHeight="1"/>
    <row r="301" ht="24.75" customHeight="1"/>
    <row r="302" ht="24.75" customHeight="1"/>
    <row r="303" ht="24.75" customHeight="1"/>
    <row r="304" ht="24.75" customHeight="1"/>
    <row r="305" ht="24.75" customHeight="1"/>
    <row r="306" ht="24.75" customHeight="1"/>
    <row r="307" ht="24.75" customHeight="1"/>
    <row r="308" ht="24.75" customHeight="1"/>
    <row r="309" ht="24.75" customHeight="1"/>
    <row r="310" ht="24.75" customHeight="1"/>
    <row r="311" ht="24.75" customHeight="1"/>
    <row r="312" ht="24.75" customHeight="1"/>
    <row r="313" ht="24.75" customHeight="1"/>
    <row r="314" ht="24.75" customHeight="1"/>
    <row r="315" ht="24.75" customHeight="1"/>
    <row r="316" ht="24.75" customHeight="1"/>
    <row r="317" ht="24.75" customHeight="1"/>
    <row r="318" ht="24.75" customHeight="1"/>
    <row r="319" ht="24.75" customHeight="1"/>
    <row r="320" ht="24.75" customHeight="1"/>
    <row r="321" ht="24.75" customHeight="1"/>
    <row r="322" ht="24.75" customHeight="1"/>
    <row r="323" ht="24.75" customHeight="1"/>
    <row r="324" ht="24.75" customHeight="1"/>
    <row r="325" ht="24.75" customHeight="1"/>
    <row r="326" ht="24.75" customHeight="1"/>
    <row r="327" ht="24.75" customHeight="1"/>
    <row r="328" ht="24.75" customHeight="1"/>
    <row r="329" ht="24.75" customHeight="1"/>
    <row r="330" ht="24.75" customHeight="1"/>
    <row r="331" ht="24.75" customHeight="1"/>
    <row r="332" ht="24.75" customHeight="1"/>
    <row r="333" ht="24.75" customHeight="1"/>
    <row r="334" ht="24.75" customHeight="1"/>
    <row r="335" ht="24.75" customHeight="1"/>
    <row r="336" ht="24.75" customHeight="1"/>
    <row r="337" ht="24.75" customHeight="1"/>
    <row r="338" ht="24.75" customHeight="1"/>
    <row r="339" ht="24.75" customHeight="1"/>
    <row r="340" ht="24.75" customHeight="1"/>
    <row r="341" ht="24.75" customHeight="1"/>
    <row r="342" ht="24.75" customHeight="1"/>
    <row r="343" ht="24.75" customHeight="1"/>
    <row r="344" ht="24.75" customHeight="1"/>
    <row r="345" ht="24.75" customHeight="1"/>
    <row r="346" ht="24.75" customHeight="1"/>
    <row r="347" ht="24.75" customHeight="1"/>
    <row r="348" ht="24.75" customHeight="1"/>
    <row r="349" ht="24.75" customHeight="1"/>
    <row r="350" ht="24.75" customHeight="1"/>
    <row r="351" ht="24.75" customHeight="1"/>
    <row r="352" ht="24.75" customHeight="1"/>
    <row r="353" ht="24.75" customHeight="1"/>
    <row r="354" ht="24.75" customHeight="1"/>
    <row r="355" ht="24.75" customHeight="1"/>
    <row r="356" ht="24.75" customHeight="1"/>
    <row r="357" ht="24.75" customHeight="1"/>
    <row r="358" ht="24.75" customHeight="1"/>
    <row r="359" ht="24.75" customHeight="1"/>
    <row r="360" ht="24.75" customHeight="1"/>
    <row r="361" ht="24.75" customHeight="1"/>
    <row r="362" ht="24.75" customHeight="1"/>
    <row r="363" ht="24.75" customHeight="1"/>
    <row r="364" ht="24.75" customHeight="1"/>
    <row r="365" ht="24.75" customHeight="1"/>
    <row r="366" ht="24.75" customHeight="1"/>
    <row r="367" ht="24.75" customHeight="1"/>
    <row r="368" ht="24.75" customHeight="1"/>
    <row r="369" ht="24.75" customHeight="1"/>
    <row r="370" ht="24.75" customHeight="1"/>
    <row r="371" ht="24.75" customHeight="1"/>
    <row r="372" ht="24.75" customHeight="1"/>
    <row r="373" ht="24.75" customHeight="1"/>
    <row r="374" ht="24.75" customHeight="1"/>
    <row r="375" ht="24.75" customHeight="1"/>
    <row r="376" ht="24.75" customHeight="1"/>
    <row r="377" ht="24.75" customHeight="1"/>
    <row r="378" ht="24.75" customHeight="1"/>
    <row r="379" ht="24.75" customHeight="1"/>
    <row r="380" ht="24.75" customHeight="1"/>
    <row r="381" ht="24.75" customHeight="1"/>
    <row r="382" ht="24.75" customHeight="1"/>
    <row r="383" ht="24.75" customHeight="1"/>
    <row r="384" ht="24.75" customHeight="1"/>
    <row r="385" ht="24.75" customHeight="1"/>
    <row r="386" ht="24.75" customHeight="1"/>
    <row r="387" ht="24.75" customHeight="1"/>
    <row r="388" ht="24.75" customHeight="1"/>
    <row r="389" ht="24.75" customHeight="1"/>
    <row r="390" ht="24.75" customHeight="1"/>
    <row r="391" ht="24.75" customHeight="1"/>
    <row r="392" ht="24.75" customHeight="1"/>
    <row r="393" ht="24.75" customHeight="1"/>
    <row r="394" ht="24.75" customHeight="1"/>
    <row r="395" ht="24.75" customHeight="1"/>
    <row r="396" ht="24.75" customHeight="1"/>
    <row r="397" ht="24.75" customHeight="1"/>
    <row r="398" ht="24.75" customHeight="1"/>
    <row r="399" ht="24.75" customHeight="1"/>
    <row r="400" ht="24.75" customHeight="1"/>
    <row r="401" ht="24.75" customHeight="1"/>
    <row r="402" ht="24.75" customHeight="1"/>
    <row r="403" ht="24.75" customHeight="1"/>
    <row r="404" ht="24.75" customHeight="1"/>
    <row r="405" ht="24.75" customHeight="1"/>
    <row r="406" ht="24.75" customHeight="1"/>
    <row r="407" ht="24.75" customHeight="1"/>
    <row r="408" ht="24.75" customHeight="1"/>
    <row r="409" ht="24.75" customHeight="1"/>
    <row r="410" ht="24.75" customHeight="1"/>
    <row r="411" ht="24.75" customHeight="1"/>
    <row r="412" ht="24.75" customHeight="1"/>
    <row r="413" ht="24.75" customHeight="1"/>
    <row r="414" ht="24.75" customHeight="1"/>
    <row r="415" ht="24.75" customHeight="1"/>
    <row r="416" ht="24.75" customHeight="1"/>
    <row r="417" ht="24.75" customHeight="1"/>
    <row r="418" ht="24.75" customHeight="1"/>
    <row r="419" ht="24.75" customHeight="1"/>
    <row r="420" ht="24.75" customHeight="1"/>
    <row r="421" ht="24.75" customHeight="1"/>
    <row r="422" ht="24.75" customHeight="1"/>
    <row r="423" ht="24.75" customHeight="1"/>
    <row r="424" ht="24.75" customHeight="1"/>
    <row r="425" ht="24.75" customHeight="1"/>
    <row r="426" ht="24.75" customHeight="1"/>
    <row r="427" ht="24.75" customHeight="1"/>
    <row r="428" ht="24.75" customHeight="1"/>
    <row r="429" ht="24.75" customHeight="1"/>
    <row r="430" ht="24.75" customHeight="1"/>
    <row r="431" ht="24.75" customHeight="1"/>
    <row r="432" ht="24.75" customHeight="1"/>
    <row r="433" ht="24.75" customHeight="1"/>
    <row r="434" ht="24.75" customHeight="1"/>
    <row r="435" ht="24.75" customHeight="1"/>
    <row r="436" ht="24.75" customHeight="1"/>
    <row r="437" ht="24.75" customHeight="1"/>
    <row r="438" ht="24.75" customHeight="1"/>
    <row r="439" ht="24.75" customHeight="1"/>
    <row r="440" ht="24.75" customHeight="1"/>
    <row r="441" ht="24.75" customHeight="1"/>
    <row r="442" ht="24.75" customHeight="1"/>
    <row r="443" ht="24.75" customHeight="1"/>
    <row r="444" ht="24.75" customHeight="1"/>
    <row r="445" ht="24.75" customHeight="1"/>
    <row r="446" ht="24.75" customHeight="1"/>
    <row r="447" ht="24.75" customHeight="1"/>
    <row r="448" ht="24.75" customHeight="1"/>
    <row r="449" ht="24.75" customHeight="1"/>
    <row r="450" ht="24.75" customHeight="1"/>
    <row r="451" ht="24.75" customHeight="1"/>
    <row r="452" ht="24.75" customHeight="1"/>
    <row r="453" ht="24.75" customHeight="1"/>
    <row r="454" ht="24.75" customHeight="1"/>
    <row r="455" ht="24.75" customHeight="1"/>
    <row r="456" ht="24.75" customHeight="1"/>
    <row r="457" ht="24.75" customHeight="1"/>
    <row r="458" ht="24.75" customHeight="1"/>
    <row r="459" ht="24.75" customHeight="1"/>
    <row r="460" ht="24.75" customHeight="1"/>
    <row r="461" ht="24.75" customHeight="1"/>
    <row r="462" ht="24.75" customHeight="1"/>
    <row r="463" ht="24.75" customHeight="1"/>
    <row r="464" ht="24.75" customHeight="1"/>
    <row r="465" ht="24.75" customHeight="1"/>
    <row r="466" ht="24.75" customHeight="1"/>
    <row r="467" ht="24.75" customHeight="1"/>
    <row r="468" ht="24.75" customHeight="1"/>
    <row r="469" ht="24.75" customHeight="1"/>
    <row r="470" ht="24.75" customHeight="1"/>
    <row r="471" ht="24.75" customHeight="1"/>
    <row r="472" ht="24.75" customHeight="1"/>
    <row r="473" ht="24.75" customHeight="1"/>
    <row r="474" ht="24.75" customHeight="1"/>
    <row r="475" ht="24.75" customHeight="1"/>
    <row r="476" ht="24.75" customHeight="1"/>
    <row r="477" ht="24.75" customHeight="1"/>
    <row r="478" ht="24.75" customHeight="1"/>
    <row r="479" ht="24.75" customHeight="1"/>
    <row r="480" ht="24.75" customHeight="1"/>
    <row r="481" ht="24.75" customHeight="1"/>
    <row r="482" ht="24.75" customHeight="1"/>
    <row r="483" ht="24.75" customHeight="1"/>
    <row r="484" ht="24.75" customHeight="1"/>
    <row r="485" ht="24.75" customHeight="1"/>
    <row r="486" ht="24.75" customHeight="1"/>
    <row r="487" ht="24.75" customHeight="1"/>
    <row r="488" ht="24.75" customHeight="1"/>
    <row r="489" ht="24.75" customHeight="1"/>
    <row r="490" ht="24.75" customHeight="1"/>
    <row r="491" ht="24.75" customHeight="1"/>
    <row r="492" ht="24.75" customHeight="1"/>
    <row r="493" ht="24.75" customHeight="1"/>
    <row r="494" ht="24.75" customHeight="1"/>
    <row r="495" ht="24.75" customHeight="1"/>
    <row r="496" ht="24.75" customHeight="1"/>
    <row r="497" ht="24.75" customHeight="1"/>
    <row r="498" ht="24.75" customHeight="1"/>
    <row r="499" ht="24.75" customHeight="1"/>
    <row r="500" ht="24.75" customHeight="1"/>
    <row r="501" ht="24.75" customHeight="1"/>
    <row r="502" ht="24.75" customHeight="1"/>
    <row r="503" ht="24.75" customHeight="1"/>
    <row r="504" ht="24.75" customHeight="1"/>
    <row r="505" ht="24.75" customHeight="1"/>
    <row r="506" ht="24.75" customHeight="1"/>
    <row r="507" ht="24.75" customHeight="1"/>
    <row r="508" ht="24.75" customHeight="1"/>
    <row r="509" ht="24.75" customHeight="1"/>
    <row r="510" ht="24.75" customHeight="1"/>
    <row r="511" ht="24.75" customHeight="1"/>
    <row r="512" ht="24.75" customHeight="1"/>
    <row r="513" ht="24.75" customHeight="1"/>
    <row r="514" ht="24.75" customHeight="1"/>
    <row r="515" ht="24.75" customHeight="1"/>
    <row r="516" ht="24.75" customHeight="1"/>
    <row r="517" ht="24.75" customHeight="1"/>
    <row r="518" ht="24.75" customHeight="1"/>
    <row r="519" ht="24.75" customHeight="1"/>
    <row r="520" ht="24.75" customHeight="1"/>
    <row r="521" ht="24.75" customHeight="1"/>
    <row r="522" ht="24.75" customHeight="1"/>
    <row r="523" ht="24.75" customHeight="1"/>
    <row r="524" ht="24.75" customHeight="1"/>
    <row r="525" ht="24.75" customHeight="1"/>
    <row r="526" ht="24.75" customHeight="1"/>
    <row r="527" ht="24.75" customHeight="1"/>
    <row r="528" ht="24.75" customHeight="1"/>
    <row r="529" ht="24.75" customHeight="1"/>
    <row r="530" ht="24.75" customHeight="1"/>
    <row r="531" ht="24.75" customHeight="1"/>
    <row r="532" ht="24.75" customHeight="1"/>
    <row r="533" ht="24.75" customHeight="1"/>
    <row r="534" ht="24.75" customHeight="1"/>
    <row r="535" ht="24.75" customHeight="1"/>
    <row r="536" ht="24.75" customHeight="1"/>
    <row r="537" ht="24.75" customHeight="1"/>
    <row r="538" ht="24.75" customHeight="1"/>
    <row r="539" ht="24.75" customHeight="1"/>
    <row r="540" ht="24.75" customHeight="1"/>
    <row r="541" ht="24.75" customHeight="1"/>
    <row r="542" ht="24.75" customHeight="1"/>
    <row r="543" ht="24.75" customHeight="1"/>
    <row r="544" ht="24.75" customHeight="1"/>
    <row r="545" ht="24.75" customHeight="1"/>
    <row r="546" ht="24.75" customHeight="1"/>
    <row r="547" ht="24.75" customHeight="1"/>
    <row r="548" ht="24.75" customHeight="1"/>
    <row r="549" ht="24.75" customHeight="1"/>
    <row r="550" ht="24.75" customHeight="1"/>
    <row r="551" ht="24.75" customHeight="1"/>
    <row r="552" ht="24.75" customHeight="1"/>
    <row r="553" ht="24.75" customHeight="1"/>
    <row r="554" ht="24.75" customHeight="1"/>
    <row r="555" ht="24.75" customHeight="1"/>
    <row r="556" ht="24.75" customHeight="1"/>
    <row r="557" ht="24.75" customHeight="1"/>
    <row r="558" ht="24.75" customHeight="1"/>
    <row r="559" ht="24.75" customHeight="1"/>
    <row r="560" ht="24.75" customHeight="1"/>
    <row r="561" ht="24.75" customHeight="1"/>
    <row r="562" ht="24.75" customHeight="1"/>
    <row r="563" ht="24.75" customHeight="1"/>
    <row r="564" ht="24.75" customHeight="1"/>
    <row r="565" ht="24.75" customHeight="1"/>
    <row r="566" ht="24.75" customHeight="1"/>
    <row r="567" ht="24.75" customHeight="1"/>
    <row r="568" ht="24.75" customHeight="1"/>
    <row r="569" ht="24.75" customHeight="1"/>
    <row r="570" ht="24.75" customHeight="1"/>
    <row r="571" ht="24.75" customHeight="1"/>
    <row r="572" ht="24.75" customHeight="1"/>
    <row r="573" ht="24.75" customHeight="1"/>
    <row r="574" ht="24.75" customHeight="1"/>
    <row r="575" ht="24.75" customHeight="1"/>
    <row r="576" ht="24.75" customHeight="1"/>
    <row r="577" ht="24.75" customHeight="1"/>
    <row r="578" ht="24.75" customHeight="1"/>
    <row r="579" ht="24.75" customHeight="1"/>
    <row r="580" ht="24.75" customHeight="1"/>
    <row r="581" ht="24.75" customHeight="1"/>
    <row r="582" ht="24.75" customHeight="1"/>
    <row r="583" ht="24.75" customHeight="1"/>
    <row r="584" ht="24.75" customHeight="1"/>
    <row r="585" ht="24.75" customHeight="1"/>
    <row r="586" ht="24.75" customHeight="1"/>
    <row r="587" ht="24.75" customHeight="1"/>
    <row r="588" ht="24.75" customHeight="1"/>
    <row r="589" ht="24.75" customHeight="1"/>
    <row r="590" ht="24.75" customHeight="1"/>
    <row r="591" ht="24.75" customHeight="1"/>
    <row r="592" ht="24.75" customHeight="1"/>
    <row r="593" ht="24.75" customHeight="1"/>
    <row r="594" ht="24.75" customHeight="1"/>
    <row r="595" ht="24.75" customHeight="1"/>
    <row r="596" ht="24.75" customHeight="1"/>
    <row r="597" ht="24.75" customHeight="1"/>
    <row r="598" ht="24.75" customHeight="1"/>
    <row r="599" ht="24.75" customHeight="1"/>
    <row r="600" ht="24.75" customHeight="1"/>
    <row r="601" ht="24.75" customHeight="1"/>
    <row r="602" ht="24.75" customHeight="1"/>
    <row r="603" ht="24.75" customHeight="1"/>
    <row r="604" ht="24.75" customHeight="1"/>
    <row r="605" ht="24.75" customHeight="1"/>
    <row r="606" ht="24.75" customHeight="1"/>
    <row r="607" ht="24.75" customHeight="1"/>
    <row r="608" ht="24.75" customHeight="1"/>
    <row r="609" ht="24.75" customHeight="1"/>
    <row r="610" ht="24.75" customHeight="1"/>
    <row r="611" ht="24.75" customHeight="1"/>
    <row r="612" ht="24.75" customHeight="1"/>
    <row r="613" ht="24.75" customHeight="1"/>
    <row r="614" ht="24.75" customHeight="1"/>
    <row r="615" ht="24.75" customHeight="1"/>
    <row r="616" ht="24.75" customHeight="1"/>
    <row r="617" ht="24.75" customHeight="1"/>
    <row r="618" ht="24.75" customHeight="1"/>
    <row r="619" ht="24.75" customHeight="1"/>
    <row r="620" ht="24.75" customHeight="1"/>
    <row r="621" ht="24.75" customHeight="1"/>
    <row r="622" ht="24.75" customHeight="1"/>
    <row r="623" ht="24.75" customHeight="1"/>
    <row r="624" ht="24.75" customHeight="1"/>
    <row r="625" ht="24.75" customHeight="1"/>
    <row r="626" ht="24.75" customHeight="1"/>
    <row r="627" ht="24.75" customHeight="1"/>
    <row r="628" ht="24.75" customHeight="1"/>
    <row r="629" ht="24.75" customHeight="1"/>
    <row r="630" ht="24.75" customHeight="1"/>
    <row r="631" ht="24.75" customHeight="1"/>
    <row r="632" ht="24.75" customHeight="1"/>
    <row r="633" ht="24.75" customHeight="1"/>
    <row r="634" ht="24.75" customHeight="1"/>
    <row r="635" ht="24.75" customHeight="1"/>
    <row r="636" ht="24.75" customHeight="1"/>
    <row r="637" ht="24.75" customHeight="1"/>
    <row r="638" ht="24.75" customHeight="1"/>
    <row r="639" ht="24.75" customHeight="1"/>
    <row r="640" ht="24.75" customHeight="1"/>
    <row r="641" ht="24.75" customHeight="1"/>
    <row r="642" ht="24.75" customHeight="1"/>
    <row r="643" ht="24.75" customHeight="1"/>
    <row r="644" ht="24.75" customHeight="1"/>
    <row r="645" ht="24.75" customHeight="1"/>
    <row r="646" ht="24.75" customHeight="1"/>
    <row r="647" ht="24.75" customHeight="1"/>
    <row r="648" ht="24.75" customHeight="1"/>
    <row r="649" ht="24.75" customHeight="1"/>
    <row r="650" ht="24.75" customHeight="1"/>
    <row r="651" ht="24.75" customHeight="1"/>
    <row r="652" ht="24.75" customHeight="1"/>
    <row r="653" ht="24.75" customHeight="1"/>
    <row r="654" ht="24.75" customHeight="1"/>
    <row r="655" ht="24.75" customHeight="1"/>
    <row r="656" ht="24.75" customHeight="1"/>
    <row r="657" ht="24.75" customHeight="1"/>
    <row r="658" ht="24.75" customHeight="1"/>
    <row r="659" ht="24.75" customHeight="1"/>
    <row r="660" ht="24.75" customHeight="1"/>
    <row r="661" ht="24.75" customHeight="1"/>
    <row r="662" ht="24.75" customHeight="1"/>
    <row r="663" ht="24.75" customHeight="1"/>
    <row r="664" ht="24.75" customHeight="1"/>
    <row r="665" ht="24.75" customHeight="1"/>
    <row r="666" ht="24.75" customHeight="1"/>
    <row r="667" ht="24.75" customHeight="1"/>
    <row r="668" ht="24.75" customHeight="1"/>
    <row r="669" ht="24.75" customHeight="1"/>
    <row r="670" ht="24.75" customHeight="1"/>
    <row r="671" ht="24.75" customHeight="1"/>
    <row r="672" ht="24.75" customHeight="1"/>
    <row r="673" ht="24.75" customHeight="1"/>
    <row r="674" ht="24.75" customHeight="1"/>
    <row r="675" ht="24.75" customHeight="1"/>
    <row r="676" ht="24.75" customHeight="1"/>
    <row r="677" ht="24.75" customHeight="1"/>
    <row r="678" ht="24.75" customHeight="1"/>
    <row r="679" ht="24.75" customHeight="1"/>
    <row r="680" ht="24.75" customHeight="1"/>
    <row r="681" ht="24.75" customHeight="1"/>
    <row r="682" ht="24.75" customHeight="1"/>
    <row r="683" ht="24.75" customHeight="1"/>
    <row r="684" ht="24.75" customHeight="1"/>
    <row r="685" ht="24.75" customHeight="1"/>
    <row r="686" ht="24.75" customHeight="1"/>
    <row r="687" ht="24.75" customHeight="1"/>
    <row r="688" ht="24.75" customHeight="1"/>
    <row r="689" ht="24.75" customHeight="1"/>
    <row r="690" ht="24.75" customHeight="1"/>
    <row r="691" ht="24.75" customHeight="1"/>
    <row r="692" ht="24.75" customHeight="1"/>
    <row r="693" ht="24.75" customHeight="1"/>
    <row r="694" ht="24.75" customHeight="1"/>
    <row r="695" ht="24.75" customHeight="1"/>
    <row r="696" ht="24.75" customHeight="1"/>
    <row r="697" ht="24.75" customHeight="1"/>
    <row r="698" ht="24.75" customHeight="1"/>
    <row r="699" ht="24.75" customHeight="1"/>
    <row r="700" ht="24.75" customHeight="1"/>
    <row r="701" ht="24.75" customHeight="1"/>
    <row r="702" ht="24.75" customHeight="1"/>
    <row r="703" ht="24.75" customHeight="1"/>
    <row r="704" ht="24.75" customHeight="1"/>
    <row r="705" ht="24.75" customHeight="1"/>
    <row r="706" ht="24.75" customHeight="1"/>
    <row r="707" ht="24.75" customHeight="1"/>
    <row r="708" ht="24.75" customHeight="1"/>
    <row r="709" ht="24.75" customHeight="1"/>
    <row r="710" ht="24.75" customHeight="1"/>
    <row r="711" ht="24.75" customHeight="1"/>
    <row r="712" ht="24.75" customHeight="1"/>
    <row r="713" ht="24.75" customHeight="1"/>
    <row r="714" ht="24.75" customHeight="1"/>
    <row r="715" ht="24.75" customHeight="1"/>
    <row r="716" ht="24.75" customHeight="1"/>
    <row r="717" ht="24.75" customHeight="1"/>
    <row r="718" ht="24.75" customHeight="1"/>
    <row r="719" ht="24.75" customHeight="1"/>
    <row r="720" ht="24.75" customHeight="1"/>
    <row r="721" ht="24.75" customHeight="1"/>
    <row r="722" ht="24.75" customHeight="1"/>
    <row r="723" ht="24.75" customHeight="1"/>
    <row r="724" ht="24.75" customHeight="1"/>
    <row r="725" ht="24.75" customHeight="1"/>
    <row r="726" ht="24.75" customHeight="1"/>
    <row r="727" ht="24.75" customHeight="1"/>
    <row r="728" ht="24.75" customHeight="1"/>
    <row r="729" ht="24.75" customHeight="1"/>
    <row r="730" ht="24.75" customHeight="1"/>
    <row r="731" ht="24.75" customHeight="1"/>
    <row r="732" ht="24.75" customHeight="1"/>
    <row r="733" ht="24.75" customHeight="1"/>
    <row r="734" ht="24.75" customHeight="1"/>
    <row r="735" ht="24.75" customHeight="1"/>
    <row r="736" ht="24.75" customHeight="1"/>
    <row r="737" ht="24.75" customHeight="1"/>
    <row r="738" ht="24.75" customHeight="1"/>
    <row r="739" ht="24.75" customHeight="1"/>
    <row r="740" ht="24.75" customHeight="1"/>
    <row r="741" ht="24.75" customHeight="1"/>
    <row r="742" ht="24.75" customHeight="1"/>
    <row r="743" ht="24.75" customHeight="1"/>
    <row r="744" ht="24.75" customHeight="1"/>
    <row r="745" ht="24.75" customHeight="1"/>
    <row r="746" ht="24.75" customHeight="1"/>
    <row r="747" ht="24.75" customHeight="1"/>
    <row r="748" ht="24.75" customHeight="1"/>
    <row r="749" ht="24.75" customHeight="1"/>
    <row r="750" ht="24.75" customHeight="1"/>
    <row r="751" ht="24.75" customHeight="1"/>
    <row r="752" ht="24.75" customHeight="1"/>
    <row r="753" ht="24.75" customHeight="1"/>
    <row r="754" ht="24.75" customHeight="1"/>
    <row r="755" ht="24.75" customHeight="1"/>
    <row r="756" ht="24.75" customHeight="1"/>
    <row r="757" ht="24.75" customHeight="1"/>
    <row r="758" ht="24.75" customHeight="1"/>
    <row r="759" ht="24.75" customHeight="1"/>
    <row r="760" ht="24.75" customHeight="1"/>
    <row r="761" ht="24.75" customHeight="1"/>
    <row r="762" ht="24.75" customHeight="1"/>
    <row r="763" ht="24.75" customHeight="1"/>
    <row r="764" ht="24.75" customHeight="1"/>
    <row r="765" ht="24.75" customHeight="1"/>
    <row r="766" ht="24.75" customHeight="1"/>
    <row r="767" ht="24.75" customHeight="1"/>
    <row r="768" ht="24.75" customHeight="1"/>
    <row r="769" ht="24.75" customHeight="1"/>
    <row r="770" ht="24.75" customHeight="1"/>
    <row r="771" ht="24.75" customHeight="1"/>
    <row r="772" ht="24.75" customHeight="1"/>
    <row r="773" ht="24.75" customHeight="1"/>
    <row r="774" ht="24.75" customHeight="1"/>
    <row r="775" ht="24.75" customHeight="1"/>
    <row r="776" ht="24.75" customHeight="1"/>
    <row r="777" ht="24.75" customHeight="1"/>
    <row r="778" ht="24.75" customHeight="1"/>
    <row r="779" ht="24.75" customHeight="1"/>
    <row r="780" ht="24.75" customHeight="1"/>
    <row r="781" ht="24.75" customHeight="1"/>
    <row r="782" ht="24.75" customHeight="1"/>
    <row r="783" ht="24.75" customHeight="1"/>
    <row r="784" ht="24.75" customHeight="1"/>
    <row r="785" ht="24.75" customHeight="1"/>
    <row r="786" ht="24.75" customHeight="1"/>
    <row r="787" ht="24.75" customHeight="1"/>
    <row r="788" ht="24.75" customHeight="1"/>
    <row r="789" ht="24.75" customHeight="1"/>
    <row r="790" ht="24.75" customHeight="1"/>
    <row r="791" ht="24.75" customHeight="1"/>
    <row r="792" ht="24.75" customHeight="1"/>
    <row r="793" ht="24.75" customHeight="1"/>
    <row r="794" ht="24.75" customHeight="1"/>
    <row r="795" ht="24.75" customHeight="1"/>
    <row r="796" ht="24.75" customHeight="1"/>
    <row r="797" ht="24.75" customHeight="1"/>
    <row r="798" ht="24.75" customHeight="1"/>
    <row r="799" ht="24.75" customHeight="1"/>
    <row r="800" ht="24.75" customHeight="1"/>
    <row r="801" ht="24.75" customHeight="1"/>
    <row r="802" ht="24.75" customHeight="1"/>
    <row r="803" ht="24.75" customHeight="1"/>
    <row r="804" ht="24.75" customHeight="1"/>
    <row r="805" ht="24.75" customHeight="1"/>
    <row r="806" ht="24.75" customHeight="1"/>
    <row r="807" ht="24.75" customHeight="1"/>
    <row r="808" ht="24.75" customHeight="1"/>
    <row r="809" ht="24.75" customHeight="1"/>
    <row r="810" ht="24.75" customHeight="1"/>
    <row r="811" ht="24.75" customHeight="1"/>
    <row r="812" ht="24.75" customHeight="1"/>
    <row r="813" ht="24.75" customHeight="1"/>
    <row r="814" ht="24.75" customHeight="1"/>
    <row r="815" ht="24.75" customHeight="1"/>
    <row r="816" ht="24.75" customHeight="1"/>
    <row r="817" ht="24.75" customHeight="1"/>
    <row r="818" ht="24.75" customHeight="1"/>
    <row r="819" ht="24.75" customHeight="1"/>
    <row r="820" ht="24.75" customHeight="1"/>
    <row r="821" ht="24.75" customHeight="1"/>
    <row r="822" ht="24.75" customHeight="1"/>
    <row r="823" ht="24.75" customHeight="1"/>
    <row r="824" ht="24.75" customHeight="1"/>
    <row r="825" ht="24.75" customHeight="1"/>
    <row r="826" ht="24.75" customHeight="1"/>
    <row r="827" ht="24.75" customHeight="1"/>
    <row r="828" ht="24.75" customHeight="1"/>
    <row r="829" ht="24.75" customHeight="1"/>
    <row r="830" ht="24.75" customHeight="1"/>
    <row r="831" ht="24.75" customHeight="1"/>
    <row r="832" ht="24.75" customHeight="1"/>
    <row r="833" ht="24.75" customHeight="1"/>
    <row r="834" ht="24.75" customHeight="1"/>
    <row r="835" ht="24.75" customHeight="1"/>
    <row r="836" ht="24.75" customHeight="1"/>
    <row r="837" ht="24.75" customHeight="1"/>
    <row r="838" ht="24.75" customHeight="1"/>
    <row r="839" ht="24.75" customHeight="1"/>
    <row r="840" ht="24.75" customHeight="1"/>
    <row r="841" ht="24.75" customHeight="1"/>
    <row r="842" ht="24.75" customHeight="1"/>
    <row r="843" ht="24.75" customHeight="1"/>
    <row r="844" ht="24.75" customHeight="1"/>
    <row r="845" ht="24.75" customHeight="1"/>
    <row r="846" ht="24.75" customHeight="1"/>
    <row r="847" ht="24.75" customHeight="1"/>
    <row r="848" ht="24.75" customHeight="1"/>
    <row r="849" ht="24.75" customHeight="1"/>
    <row r="850" ht="24.75" customHeight="1"/>
    <row r="851" ht="24.75" customHeight="1"/>
    <row r="852" ht="24.75" customHeight="1"/>
    <row r="853" ht="24.75" customHeight="1"/>
    <row r="854" ht="24.75" customHeight="1"/>
    <row r="855" ht="24.75" customHeight="1"/>
    <row r="856" ht="24.75" customHeight="1"/>
    <row r="857" ht="24.75" customHeight="1"/>
    <row r="858" ht="24.75" customHeight="1"/>
    <row r="859" ht="24.75" customHeight="1"/>
    <row r="860" ht="24.75" customHeight="1"/>
    <row r="861" ht="24.75" customHeight="1"/>
    <row r="862" ht="24.75" customHeight="1"/>
    <row r="863" ht="24.75" customHeight="1"/>
    <row r="864" ht="24.75" customHeight="1"/>
    <row r="865" ht="24.75" customHeight="1"/>
    <row r="866" ht="24.75" customHeight="1"/>
    <row r="867" ht="24.75" customHeight="1"/>
    <row r="868" ht="24.75" customHeight="1"/>
    <row r="869" ht="24.75" customHeight="1"/>
    <row r="870" ht="24.75" customHeight="1"/>
    <row r="871" ht="24.75" customHeight="1"/>
    <row r="872" ht="24.75" customHeight="1"/>
    <row r="873" ht="24.75" customHeight="1"/>
    <row r="874" ht="24.75" customHeight="1"/>
    <row r="875" ht="24.75" customHeight="1"/>
    <row r="876" ht="24.75" customHeight="1"/>
    <row r="877" ht="24.75" customHeight="1"/>
    <row r="878" ht="24.75" customHeight="1"/>
    <row r="879" ht="24.75" customHeight="1"/>
    <row r="880" ht="24.75" customHeight="1"/>
    <row r="881" ht="24.75" customHeight="1"/>
    <row r="882" ht="24.75" customHeight="1"/>
    <row r="883" ht="24.75" customHeight="1"/>
    <row r="884" ht="24.75" customHeight="1"/>
    <row r="885" ht="24.75" customHeight="1"/>
    <row r="886" ht="24.75" customHeight="1"/>
    <row r="887" ht="24.75" customHeight="1"/>
    <row r="888" ht="24.75" customHeight="1"/>
    <row r="889" ht="24.75" customHeight="1"/>
    <row r="890" ht="24.75" customHeight="1"/>
    <row r="891" ht="24.75" customHeight="1"/>
    <row r="892" ht="24.75" customHeight="1"/>
    <row r="893" ht="24.75" customHeight="1"/>
    <row r="894" ht="24.75" customHeight="1"/>
    <row r="895" ht="24.75" customHeight="1"/>
    <row r="896" ht="24.75" customHeight="1"/>
    <row r="897" ht="24.75" customHeight="1"/>
    <row r="898" ht="24.75" customHeight="1"/>
    <row r="899" ht="24.75" customHeight="1"/>
    <row r="900" ht="24.75" customHeight="1"/>
    <row r="901" ht="24.75" customHeight="1"/>
    <row r="902" ht="24.75" customHeight="1"/>
    <row r="903" ht="24.75" customHeight="1"/>
    <row r="904" ht="24.75" customHeight="1"/>
    <row r="905" ht="24.75" customHeight="1"/>
    <row r="906" ht="24.75" customHeight="1"/>
    <row r="907" ht="24.75" customHeight="1"/>
    <row r="908" ht="24.75" customHeight="1"/>
    <row r="909" ht="24.75" customHeight="1"/>
    <row r="910" ht="24.75" customHeight="1"/>
    <row r="911" ht="24.75" customHeight="1"/>
    <row r="912" ht="24.75" customHeight="1"/>
    <row r="913" ht="24.75" customHeight="1"/>
    <row r="914" ht="24.75" customHeight="1"/>
    <row r="915" ht="24.75" customHeight="1"/>
    <row r="916" ht="24.75" customHeight="1"/>
    <row r="917" ht="24.75" customHeight="1"/>
    <row r="918" ht="24.75" customHeight="1"/>
    <row r="919" ht="24.75" customHeight="1"/>
    <row r="920" ht="24.75" customHeight="1"/>
    <row r="921" ht="24.75" customHeight="1"/>
    <row r="922" ht="24.75" customHeight="1"/>
    <row r="923" ht="24.75" customHeight="1"/>
    <row r="924" ht="24.75" customHeight="1"/>
    <row r="925" ht="24.75" customHeight="1"/>
    <row r="926" ht="24.75" customHeight="1"/>
    <row r="927" ht="24.75" customHeight="1"/>
    <row r="928" ht="24.75" customHeight="1"/>
    <row r="929" ht="24.75" customHeight="1"/>
    <row r="930" ht="24.75" customHeight="1"/>
    <row r="931" ht="24.75" customHeight="1"/>
    <row r="932" ht="24.75" customHeight="1"/>
    <row r="933" ht="24.75" customHeight="1"/>
    <row r="934" ht="24.75" customHeight="1"/>
    <row r="935" ht="24.75" customHeight="1"/>
    <row r="936" ht="24.75" customHeight="1"/>
    <row r="937" ht="24.75" customHeight="1"/>
    <row r="938" ht="24.75" customHeight="1"/>
    <row r="939" ht="24.75" customHeight="1"/>
    <row r="940" ht="24.75" customHeight="1"/>
    <row r="941" ht="24.75" customHeight="1"/>
    <row r="942" ht="24.75" customHeight="1"/>
    <row r="943" ht="24.75" customHeight="1"/>
    <row r="944" ht="24.75" customHeight="1"/>
    <row r="945" ht="24.75" customHeight="1"/>
    <row r="946" ht="24.75" customHeight="1"/>
    <row r="947" ht="24.75" customHeight="1"/>
    <row r="948" ht="24.75" customHeight="1"/>
    <row r="949" ht="24.75" customHeight="1"/>
    <row r="950" ht="24.75" customHeight="1"/>
    <row r="951" ht="24.75" customHeight="1"/>
    <row r="952" ht="24.75" customHeight="1"/>
    <row r="953" ht="24.75" customHeight="1"/>
    <row r="954" ht="24.75" customHeight="1"/>
    <row r="955" ht="24.75" customHeight="1"/>
    <row r="956" ht="24.75" customHeight="1"/>
    <row r="957" ht="24.75" customHeight="1"/>
    <row r="958" ht="24.75" customHeight="1"/>
    <row r="959" ht="24.75" customHeight="1"/>
    <row r="960" ht="24.75" customHeight="1"/>
    <row r="961" ht="24.75" customHeight="1"/>
    <row r="962" ht="24.75" customHeight="1"/>
    <row r="963" ht="24.75" customHeight="1"/>
    <row r="964" ht="24.75" customHeight="1"/>
    <row r="965" ht="24.75" customHeight="1"/>
    <row r="966" ht="24.75" customHeight="1"/>
    <row r="967" ht="24.75" customHeight="1"/>
    <row r="968" ht="24.75" customHeight="1"/>
    <row r="969" ht="24.75" customHeight="1"/>
    <row r="970" ht="24.75" customHeight="1"/>
    <row r="971" ht="24.75" customHeight="1"/>
    <row r="972" ht="24.75" customHeight="1"/>
    <row r="973" ht="24.75" customHeight="1"/>
    <row r="974" ht="24.75" customHeight="1"/>
    <row r="975" ht="24.75" customHeight="1"/>
    <row r="976" ht="24.75" customHeight="1"/>
    <row r="977" ht="24.75" customHeight="1"/>
    <row r="978" ht="24.75" customHeight="1"/>
    <row r="979" ht="24.75" customHeight="1"/>
    <row r="980" ht="24.75" customHeight="1"/>
    <row r="981" ht="24.75" customHeight="1"/>
    <row r="982" ht="24.75" customHeight="1"/>
    <row r="983" ht="24.75" customHeight="1"/>
    <row r="984" ht="24.75" customHeight="1"/>
    <row r="985" ht="24.75" customHeight="1"/>
    <row r="986" ht="24.75" customHeight="1"/>
    <row r="987" ht="24.75" customHeight="1"/>
    <row r="988" ht="24.75" customHeight="1"/>
    <row r="989" ht="24.75" customHeight="1"/>
    <row r="990" ht="24.75" customHeight="1"/>
    <row r="991" ht="24.75" customHeight="1"/>
    <row r="992" ht="24.75" customHeight="1"/>
    <row r="993" ht="24.75" customHeight="1"/>
    <row r="994" ht="24.75" customHeight="1"/>
    <row r="995" ht="24.75" customHeight="1"/>
    <row r="996" ht="24.75" customHeight="1"/>
    <row r="997" ht="24.75" customHeight="1"/>
    <row r="998" ht="24.75" customHeight="1"/>
    <row r="999" ht="24.75" customHeight="1"/>
    <row r="1000" ht="24.75" customHeight="1"/>
    <row r="1001" ht="24.75" customHeight="1"/>
    <row r="1002" ht="24.75" customHeight="1"/>
    <row r="1003" ht="24.75" customHeight="1"/>
    <row r="1004" ht="24.75" customHeight="1"/>
    <row r="1005" ht="24.75" customHeight="1"/>
    <row r="1006" ht="24.75" customHeight="1"/>
    <row r="1007" ht="24.75" customHeight="1"/>
    <row r="1008" ht="24.75" customHeight="1"/>
  </sheetData>
  <customSheetViews>
    <customSheetView guid="{E6E75B66-3438-43FD-AFAB-385569EB836E}" filter="1" showAutoFilter="1">
      <autoFilter ref="$A$1:$H$21"/>
      <extLst>
        <ext uri="GoogleSheetsCustomDataVersion1">
          <go:sheetsCustomData xmlns:go="http://customooxmlschemas.google.com/" filterViewId="42698910"/>
        </ext>
      </extLst>
    </customSheetView>
  </customSheetViews>
  <printOptions/>
  <pageMargins bottom="1.0" footer="0.0" header="0.0" left="0.15032211882605584" right="0.4509663564781676" top="1.0"/>
  <pageSetup fitToWidth="0" paperSize="9" orientation="portrait"/>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38.0"/>
    <col customWidth="1" min="3" max="3" width="21.0"/>
    <col customWidth="1" min="6" max="6" width="22.86"/>
  </cols>
  <sheetData>
    <row r="1">
      <c r="A1" s="46" t="s">
        <v>125</v>
      </c>
      <c r="B1" s="46" t="s">
        <v>126</v>
      </c>
      <c r="C1" s="46" t="s">
        <v>127</v>
      </c>
      <c r="D1" s="47" t="s">
        <v>128</v>
      </c>
      <c r="E1" s="46" t="s">
        <v>129</v>
      </c>
      <c r="F1" s="46" t="s">
        <v>130</v>
      </c>
      <c r="G1" s="46" t="s">
        <v>131</v>
      </c>
      <c r="H1" s="48"/>
      <c r="I1" s="48"/>
      <c r="J1" s="48"/>
      <c r="K1" s="48"/>
      <c r="L1" s="48"/>
      <c r="M1" s="48"/>
      <c r="N1" s="48"/>
      <c r="O1" s="48"/>
      <c r="P1" s="48"/>
      <c r="Q1" s="48"/>
      <c r="R1" s="48"/>
      <c r="S1" s="48"/>
      <c r="T1" s="48"/>
      <c r="U1" s="48"/>
      <c r="V1" s="48"/>
      <c r="W1" s="48"/>
      <c r="X1" s="48"/>
      <c r="Y1" s="48"/>
      <c r="Z1" s="48"/>
    </row>
    <row r="2" ht="15.0" customHeight="1">
      <c r="A2" s="48">
        <v>1.0</v>
      </c>
      <c r="B2" s="49" t="s">
        <v>132</v>
      </c>
      <c r="C2" s="50">
        <v>5500.0</v>
      </c>
      <c r="D2" s="50">
        <v>5500.0</v>
      </c>
      <c r="E2" s="50" t="s">
        <v>133</v>
      </c>
      <c r="F2" s="50">
        <f t="shared" ref="F2:F37" si="1">(75/100)*D2</f>
        <v>4125</v>
      </c>
      <c r="G2" s="48">
        <f t="shared" ref="G2:G37" si="2">D2-F2</f>
        <v>1375</v>
      </c>
      <c r="H2" s="48"/>
      <c r="I2" s="48"/>
      <c r="J2" s="48"/>
      <c r="K2" s="48"/>
      <c r="L2" s="48"/>
      <c r="M2" s="48"/>
      <c r="N2" s="48"/>
      <c r="O2" s="48"/>
      <c r="P2" s="48"/>
      <c r="Q2" s="48"/>
      <c r="R2" s="48"/>
      <c r="S2" s="48"/>
      <c r="T2" s="48"/>
      <c r="U2" s="48"/>
      <c r="V2" s="48"/>
      <c r="W2" s="48"/>
      <c r="X2" s="48"/>
      <c r="Y2" s="48"/>
      <c r="Z2" s="48"/>
    </row>
    <row r="3" ht="15.0" customHeight="1">
      <c r="A3" s="51">
        <v>2.0</v>
      </c>
      <c r="B3" s="52" t="s">
        <v>134</v>
      </c>
      <c r="C3" s="50">
        <v>5500.0</v>
      </c>
      <c r="D3" s="50">
        <v>5500.0</v>
      </c>
      <c r="E3" s="51" t="s">
        <v>133</v>
      </c>
      <c r="F3" s="51">
        <f t="shared" si="1"/>
        <v>4125</v>
      </c>
      <c r="G3" s="53">
        <f t="shared" si="2"/>
        <v>1375</v>
      </c>
      <c r="H3" s="53"/>
      <c r="I3" s="53"/>
      <c r="J3" s="53"/>
      <c r="K3" s="53"/>
      <c r="L3" s="53"/>
      <c r="M3" s="53"/>
      <c r="N3" s="53"/>
      <c r="O3" s="53"/>
      <c r="P3" s="53"/>
      <c r="Q3" s="53"/>
      <c r="R3" s="53"/>
      <c r="S3" s="53"/>
      <c r="T3" s="53"/>
      <c r="U3" s="53"/>
      <c r="V3" s="53"/>
      <c r="W3" s="53"/>
      <c r="X3" s="53"/>
      <c r="Y3" s="53"/>
      <c r="Z3" s="53"/>
    </row>
    <row r="4" ht="15.0" customHeight="1">
      <c r="A4" s="50">
        <v>3.0</v>
      </c>
      <c r="B4" s="49" t="s">
        <v>135</v>
      </c>
      <c r="C4" s="50">
        <v>5500.0</v>
      </c>
      <c r="D4" s="50">
        <v>5500.0</v>
      </c>
      <c r="E4" s="50" t="s">
        <v>133</v>
      </c>
      <c r="F4" s="50">
        <f t="shared" si="1"/>
        <v>4125</v>
      </c>
      <c r="G4" s="48">
        <f t="shared" si="2"/>
        <v>1375</v>
      </c>
      <c r="H4" s="48"/>
      <c r="I4" s="48"/>
      <c r="J4" s="48"/>
      <c r="K4" s="48"/>
      <c r="L4" s="48"/>
      <c r="M4" s="48"/>
      <c r="N4" s="48"/>
      <c r="O4" s="48"/>
      <c r="P4" s="48"/>
      <c r="Q4" s="48"/>
      <c r="R4" s="48"/>
      <c r="S4" s="48"/>
      <c r="T4" s="48"/>
      <c r="U4" s="48"/>
      <c r="V4" s="48"/>
      <c r="W4" s="48"/>
      <c r="X4" s="48"/>
      <c r="Y4" s="48"/>
      <c r="Z4" s="48"/>
    </row>
    <row r="5" ht="15.0" customHeight="1">
      <c r="A5" s="48">
        <v>4.0</v>
      </c>
      <c r="B5" s="49" t="s">
        <v>136</v>
      </c>
      <c r="C5" s="50">
        <v>5500.0</v>
      </c>
      <c r="D5" s="50">
        <v>5500.0</v>
      </c>
      <c r="E5" s="50" t="s">
        <v>133</v>
      </c>
      <c r="F5" s="50">
        <f t="shared" si="1"/>
        <v>4125</v>
      </c>
      <c r="G5" s="48">
        <f t="shared" si="2"/>
        <v>1375</v>
      </c>
      <c r="H5" s="48"/>
      <c r="I5" s="48"/>
      <c r="J5" s="48"/>
      <c r="K5" s="48"/>
      <c r="L5" s="48"/>
      <c r="M5" s="48"/>
      <c r="N5" s="48"/>
      <c r="O5" s="48"/>
      <c r="P5" s="48"/>
      <c r="Q5" s="48"/>
      <c r="R5" s="48"/>
      <c r="S5" s="48"/>
      <c r="T5" s="48"/>
      <c r="U5" s="48"/>
      <c r="V5" s="48"/>
      <c r="W5" s="48"/>
      <c r="X5" s="48"/>
      <c r="Y5" s="48"/>
      <c r="Z5" s="48"/>
    </row>
    <row r="6" ht="15.0" customHeight="1">
      <c r="A6" s="51">
        <v>5.0</v>
      </c>
      <c r="B6" s="54" t="s">
        <v>137</v>
      </c>
      <c r="C6" s="50">
        <v>5500.0</v>
      </c>
      <c r="D6" s="50">
        <v>5500.0</v>
      </c>
      <c r="E6" s="51" t="s">
        <v>133</v>
      </c>
      <c r="F6" s="51">
        <f t="shared" si="1"/>
        <v>4125</v>
      </c>
      <c r="G6" s="53">
        <f t="shared" si="2"/>
        <v>1375</v>
      </c>
      <c r="H6" s="53"/>
      <c r="I6" s="53"/>
      <c r="J6" s="53"/>
      <c r="K6" s="53"/>
      <c r="L6" s="53"/>
      <c r="M6" s="53"/>
      <c r="N6" s="53"/>
      <c r="O6" s="53"/>
      <c r="P6" s="53"/>
      <c r="Q6" s="53"/>
      <c r="R6" s="53"/>
      <c r="S6" s="53"/>
      <c r="T6" s="53"/>
      <c r="U6" s="53"/>
      <c r="V6" s="53"/>
      <c r="W6" s="53"/>
      <c r="X6" s="53"/>
      <c r="Y6" s="53"/>
      <c r="Z6" s="53"/>
    </row>
    <row r="7" ht="15.0" customHeight="1">
      <c r="A7" s="51">
        <v>6.0</v>
      </c>
      <c r="B7" s="54" t="s">
        <v>138</v>
      </c>
      <c r="C7" s="50">
        <v>5500.0</v>
      </c>
      <c r="D7" s="50">
        <v>5500.0</v>
      </c>
      <c r="E7" s="51" t="s">
        <v>133</v>
      </c>
      <c r="F7" s="51">
        <f t="shared" si="1"/>
        <v>4125</v>
      </c>
      <c r="G7" s="53">
        <f t="shared" si="2"/>
        <v>1375</v>
      </c>
      <c r="H7" s="53"/>
      <c r="I7" s="53"/>
      <c r="J7" s="53"/>
      <c r="K7" s="53"/>
      <c r="L7" s="53"/>
      <c r="M7" s="53"/>
      <c r="N7" s="53"/>
      <c r="O7" s="53"/>
      <c r="P7" s="53"/>
      <c r="Q7" s="53"/>
      <c r="R7" s="53"/>
      <c r="S7" s="53"/>
      <c r="T7" s="53"/>
      <c r="U7" s="53"/>
      <c r="V7" s="53"/>
      <c r="W7" s="53"/>
      <c r="X7" s="53"/>
      <c r="Y7" s="53"/>
      <c r="Z7" s="53"/>
    </row>
    <row r="8" ht="15.0" customHeight="1">
      <c r="A8" s="53">
        <v>7.0</v>
      </c>
      <c r="B8" s="54" t="s">
        <v>139</v>
      </c>
      <c r="C8" s="50">
        <v>5500.0</v>
      </c>
      <c r="D8" s="50">
        <v>5500.0</v>
      </c>
      <c r="E8" s="51" t="s">
        <v>133</v>
      </c>
      <c r="F8" s="51">
        <f t="shared" si="1"/>
        <v>4125</v>
      </c>
      <c r="G8" s="53">
        <f t="shared" si="2"/>
        <v>1375</v>
      </c>
      <c r="H8" s="53"/>
      <c r="I8" s="53"/>
      <c r="J8" s="53"/>
      <c r="K8" s="53"/>
      <c r="L8" s="53"/>
      <c r="M8" s="53"/>
      <c r="N8" s="53"/>
      <c r="O8" s="53"/>
      <c r="P8" s="53"/>
      <c r="Q8" s="53"/>
      <c r="R8" s="53"/>
      <c r="S8" s="53"/>
      <c r="T8" s="53"/>
      <c r="U8" s="53"/>
      <c r="V8" s="53"/>
      <c r="W8" s="53"/>
      <c r="X8" s="53"/>
      <c r="Y8" s="53"/>
      <c r="Z8" s="53"/>
    </row>
    <row r="9" ht="15.0" customHeight="1">
      <c r="A9" s="50">
        <v>8.0</v>
      </c>
      <c r="B9" s="49" t="s">
        <v>140</v>
      </c>
      <c r="C9" s="50">
        <v>5500.0</v>
      </c>
      <c r="D9" s="50">
        <v>5500.0</v>
      </c>
      <c r="E9" s="50" t="s">
        <v>133</v>
      </c>
      <c r="F9" s="50">
        <f t="shared" si="1"/>
        <v>4125</v>
      </c>
      <c r="G9" s="48">
        <f t="shared" si="2"/>
        <v>1375</v>
      </c>
      <c r="H9" s="48"/>
      <c r="I9" s="48"/>
      <c r="J9" s="48"/>
      <c r="K9" s="48"/>
      <c r="L9" s="48"/>
      <c r="M9" s="48"/>
      <c r="N9" s="48"/>
      <c r="O9" s="48"/>
      <c r="P9" s="48"/>
      <c r="Q9" s="48"/>
      <c r="R9" s="48"/>
      <c r="S9" s="48"/>
      <c r="T9" s="48"/>
      <c r="U9" s="48"/>
      <c r="V9" s="48"/>
      <c r="W9" s="48"/>
      <c r="X9" s="48"/>
      <c r="Y9" s="48"/>
      <c r="Z9" s="48"/>
    </row>
    <row r="10" ht="15.0" customHeight="1">
      <c r="A10" s="50">
        <v>9.0</v>
      </c>
      <c r="B10" s="55" t="s">
        <v>141</v>
      </c>
      <c r="C10" s="50">
        <v>5500.0</v>
      </c>
      <c r="D10" s="50">
        <v>5500.0</v>
      </c>
      <c r="E10" s="50" t="s">
        <v>133</v>
      </c>
      <c r="F10" s="50">
        <f t="shared" si="1"/>
        <v>4125</v>
      </c>
      <c r="G10" s="48">
        <f t="shared" si="2"/>
        <v>1375</v>
      </c>
      <c r="H10" s="48"/>
      <c r="I10" s="48"/>
      <c r="J10" s="48"/>
      <c r="K10" s="48"/>
      <c r="L10" s="48"/>
      <c r="M10" s="48"/>
      <c r="N10" s="48"/>
      <c r="O10" s="48"/>
      <c r="P10" s="48"/>
      <c r="Q10" s="48"/>
      <c r="R10" s="48"/>
      <c r="S10" s="48"/>
      <c r="T10" s="48"/>
      <c r="U10" s="48"/>
      <c r="V10" s="48"/>
      <c r="W10" s="48"/>
      <c r="X10" s="48"/>
      <c r="Y10" s="48"/>
      <c r="Z10" s="48"/>
    </row>
    <row r="11" ht="15.0" customHeight="1">
      <c r="A11" s="50">
        <v>10.0</v>
      </c>
      <c r="B11" s="49" t="s">
        <v>142</v>
      </c>
      <c r="C11" s="50">
        <v>5500.0</v>
      </c>
      <c r="D11" s="50">
        <v>5500.0</v>
      </c>
      <c r="E11" s="50" t="s">
        <v>133</v>
      </c>
      <c r="F11" s="50">
        <f t="shared" si="1"/>
        <v>4125</v>
      </c>
      <c r="G11" s="48">
        <f t="shared" si="2"/>
        <v>1375</v>
      </c>
      <c r="H11" s="48"/>
      <c r="I11" s="48"/>
      <c r="J11" s="48"/>
      <c r="K11" s="48"/>
      <c r="L11" s="48"/>
      <c r="M11" s="48"/>
      <c r="N11" s="48"/>
      <c r="O11" s="48"/>
      <c r="P11" s="48"/>
      <c r="Q11" s="48"/>
      <c r="R11" s="48"/>
      <c r="S11" s="48"/>
      <c r="T11" s="48"/>
      <c r="U11" s="48"/>
      <c r="V11" s="48"/>
      <c r="W11" s="48"/>
      <c r="X11" s="48"/>
      <c r="Y11" s="48"/>
      <c r="Z11" s="48"/>
    </row>
    <row r="12" ht="15.0" customHeight="1">
      <c r="A12" s="50">
        <v>11.0</v>
      </c>
      <c r="B12" s="49" t="s">
        <v>143</v>
      </c>
      <c r="C12" s="50">
        <v>5500.0</v>
      </c>
      <c r="D12" s="50">
        <v>5500.0</v>
      </c>
      <c r="E12" s="50" t="s">
        <v>133</v>
      </c>
      <c r="F12" s="50">
        <f t="shared" si="1"/>
        <v>4125</v>
      </c>
      <c r="G12" s="48">
        <f t="shared" si="2"/>
        <v>1375</v>
      </c>
      <c r="H12" s="48"/>
      <c r="I12" s="48"/>
      <c r="J12" s="48"/>
      <c r="K12" s="48"/>
      <c r="L12" s="48"/>
      <c r="M12" s="48"/>
      <c r="N12" s="48"/>
      <c r="O12" s="48"/>
      <c r="P12" s="48"/>
      <c r="Q12" s="48"/>
      <c r="R12" s="48"/>
      <c r="S12" s="48"/>
      <c r="T12" s="48"/>
      <c r="U12" s="48"/>
      <c r="V12" s="48"/>
      <c r="W12" s="48"/>
      <c r="X12" s="48"/>
      <c r="Y12" s="48"/>
      <c r="Z12" s="48"/>
    </row>
    <row r="13" ht="15.0" customHeight="1">
      <c r="A13" s="48">
        <v>12.0</v>
      </c>
      <c r="B13" s="49" t="s">
        <v>144</v>
      </c>
      <c r="C13" s="50">
        <v>5500.0</v>
      </c>
      <c r="D13" s="50">
        <v>5500.0</v>
      </c>
      <c r="E13" s="50" t="s">
        <v>133</v>
      </c>
      <c r="F13" s="50">
        <f t="shared" si="1"/>
        <v>4125</v>
      </c>
      <c r="G13" s="48">
        <f t="shared" si="2"/>
        <v>1375</v>
      </c>
      <c r="H13" s="48"/>
      <c r="I13" s="48"/>
      <c r="J13" s="48"/>
      <c r="K13" s="48"/>
      <c r="L13" s="48"/>
      <c r="M13" s="48"/>
      <c r="N13" s="48"/>
      <c r="O13" s="48"/>
      <c r="P13" s="48"/>
      <c r="Q13" s="48"/>
      <c r="R13" s="48"/>
      <c r="S13" s="48"/>
      <c r="T13" s="48"/>
      <c r="U13" s="48"/>
      <c r="V13" s="48"/>
      <c r="W13" s="48"/>
      <c r="X13" s="48"/>
      <c r="Y13" s="48"/>
      <c r="Z13" s="48"/>
    </row>
    <row r="14" ht="15.0" customHeight="1">
      <c r="A14" s="50">
        <v>13.0</v>
      </c>
      <c r="B14" s="49" t="s">
        <v>145</v>
      </c>
      <c r="C14" s="50">
        <v>5500.0</v>
      </c>
      <c r="D14" s="50">
        <v>5500.0</v>
      </c>
      <c r="E14" s="50" t="s">
        <v>133</v>
      </c>
      <c r="F14" s="50">
        <f t="shared" si="1"/>
        <v>4125</v>
      </c>
      <c r="G14" s="48">
        <f t="shared" si="2"/>
        <v>1375</v>
      </c>
      <c r="H14" s="48"/>
      <c r="I14" s="48"/>
      <c r="J14" s="48"/>
      <c r="K14" s="48"/>
      <c r="L14" s="48"/>
      <c r="M14" s="48"/>
      <c r="N14" s="48"/>
      <c r="O14" s="48"/>
      <c r="P14" s="48"/>
      <c r="Q14" s="48"/>
      <c r="R14" s="48"/>
      <c r="S14" s="48"/>
      <c r="T14" s="48"/>
      <c r="U14" s="48"/>
      <c r="V14" s="48"/>
      <c r="W14" s="48"/>
      <c r="X14" s="48"/>
      <c r="Y14" s="48"/>
      <c r="Z14" s="48"/>
    </row>
    <row r="15" ht="15.0" customHeight="1">
      <c r="A15" s="50">
        <v>14.0</v>
      </c>
      <c r="B15" s="49" t="s">
        <v>146</v>
      </c>
      <c r="C15" s="50">
        <v>5500.0</v>
      </c>
      <c r="D15" s="50">
        <v>5500.0</v>
      </c>
      <c r="E15" s="50" t="s">
        <v>133</v>
      </c>
      <c r="F15" s="50">
        <f t="shared" si="1"/>
        <v>4125</v>
      </c>
      <c r="G15" s="48">
        <f t="shared" si="2"/>
        <v>1375</v>
      </c>
      <c r="H15" s="48"/>
      <c r="I15" s="48"/>
      <c r="J15" s="48"/>
      <c r="K15" s="48"/>
      <c r="L15" s="48"/>
      <c r="M15" s="48"/>
      <c r="N15" s="48"/>
      <c r="O15" s="48"/>
      <c r="P15" s="48"/>
      <c r="Q15" s="48"/>
      <c r="R15" s="48"/>
      <c r="S15" s="48"/>
      <c r="T15" s="48"/>
      <c r="U15" s="48"/>
      <c r="V15" s="48"/>
      <c r="W15" s="48"/>
      <c r="X15" s="48"/>
      <c r="Y15" s="48"/>
      <c r="Z15" s="48"/>
    </row>
    <row r="16" ht="15.0" customHeight="1">
      <c r="A16" s="50">
        <v>15.0</v>
      </c>
      <c r="B16" s="49" t="s">
        <v>147</v>
      </c>
      <c r="C16" s="50">
        <v>5500.0</v>
      </c>
      <c r="D16" s="50">
        <v>5500.0</v>
      </c>
      <c r="E16" s="50" t="s">
        <v>133</v>
      </c>
      <c r="F16" s="50">
        <f t="shared" si="1"/>
        <v>4125</v>
      </c>
      <c r="G16" s="48">
        <f t="shared" si="2"/>
        <v>1375</v>
      </c>
      <c r="H16" s="48"/>
      <c r="I16" s="48"/>
      <c r="J16" s="48"/>
      <c r="K16" s="48"/>
      <c r="L16" s="48"/>
      <c r="M16" s="48"/>
      <c r="N16" s="48"/>
      <c r="O16" s="48"/>
      <c r="P16" s="48"/>
      <c r="Q16" s="48"/>
      <c r="R16" s="48"/>
      <c r="S16" s="48"/>
      <c r="T16" s="48"/>
      <c r="U16" s="48"/>
      <c r="V16" s="48"/>
      <c r="W16" s="48"/>
      <c r="X16" s="48"/>
      <c r="Y16" s="48"/>
      <c r="Z16" s="48"/>
    </row>
    <row r="17" ht="15.0" customHeight="1">
      <c r="A17" s="50">
        <v>16.0</v>
      </c>
      <c r="B17" s="49" t="s">
        <v>148</v>
      </c>
      <c r="C17" s="50">
        <v>5500.0</v>
      </c>
      <c r="D17" s="50">
        <v>5500.0</v>
      </c>
      <c r="E17" s="50" t="s">
        <v>133</v>
      </c>
      <c r="F17" s="50">
        <f t="shared" si="1"/>
        <v>4125</v>
      </c>
      <c r="G17" s="48">
        <f t="shared" si="2"/>
        <v>1375</v>
      </c>
      <c r="H17" s="48"/>
      <c r="I17" s="48"/>
      <c r="J17" s="48"/>
      <c r="K17" s="48"/>
      <c r="L17" s="48"/>
      <c r="M17" s="48"/>
      <c r="N17" s="48"/>
      <c r="O17" s="48"/>
      <c r="P17" s="48"/>
      <c r="Q17" s="48"/>
      <c r="R17" s="48"/>
      <c r="S17" s="48"/>
      <c r="T17" s="48"/>
      <c r="U17" s="48"/>
      <c r="V17" s="48"/>
      <c r="W17" s="48"/>
      <c r="X17" s="48"/>
      <c r="Y17" s="48"/>
      <c r="Z17" s="48"/>
    </row>
    <row r="18" ht="15.0" customHeight="1">
      <c r="A18" s="56">
        <v>17.0</v>
      </c>
      <c r="B18" s="57" t="s">
        <v>149</v>
      </c>
      <c r="C18" s="58">
        <v>6500.0</v>
      </c>
      <c r="D18" s="59">
        <v>6000.0</v>
      </c>
      <c r="E18" s="59" t="s">
        <v>133</v>
      </c>
      <c r="F18" s="59">
        <f t="shared" si="1"/>
        <v>4500</v>
      </c>
      <c r="G18" s="56">
        <f t="shared" si="2"/>
        <v>1500</v>
      </c>
      <c r="H18" s="56"/>
      <c r="I18" s="56"/>
      <c r="J18" s="56"/>
      <c r="K18" s="56"/>
      <c r="L18" s="56"/>
      <c r="M18" s="56"/>
      <c r="N18" s="56"/>
      <c r="O18" s="56"/>
      <c r="P18" s="56"/>
      <c r="Q18" s="56"/>
      <c r="R18" s="56"/>
      <c r="S18" s="56"/>
      <c r="T18" s="56"/>
      <c r="U18" s="56"/>
      <c r="V18" s="56"/>
      <c r="W18" s="56"/>
      <c r="X18" s="56"/>
      <c r="Y18" s="56"/>
      <c r="Z18" s="56"/>
    </row>
    <row r="19" ht="15.0" customHeight="1">
      <c r="A19" s="60">
        <v>18.0</v>
      </c>
      <c r="B19" s="61" t="s">
        <v>150</v>
      </c>
      <c r="C19" s="60">
        <v>6000.0</v>
      </c>
      <c r="D19" s="60">
        <v>6000.0</v>
      </c>
      <c r="E19" s="60" t="s">
        <v>133</v>
      </c>
      <c r="F19" s="60">
        <f t="shared" si="1"/>
        <v>4500</v>
      </c>
      <c r="G19" s="62">
        <f t="shared" si="2"/>
        <v>1500</v>
      </c>
      <c r="H19" s="62"/>
      <c r="I19" s="62"/>
      <c r="J19" s="62"/>
      <c r="K19" s="62"/>
      <c r="L19" s="62"/>
      <c r="M19" s="62"/>
      <c r="N19" s="62"/>
      <c r="O19" s="62"/>
      <c r="P19" s="62"/>
      <c r="Q19" s="62"/>
      <c r="R19" s="62"/>
      <c r="S19" s="62"/>
      <c r="T19" s="62"/>
      <c r="U19" s="62"/>
      <c r="V19" s="62"/>
      <c r="W19" s="62"/>
      <c r="X19" s="62"/>
      <c r="Y19" s="62"/>
      <c r="Z19" s="62"/>
    </row>
    <row r="20" ht="15.0" customHeight="1">
      <c r="A20" s="51">
        <v>19.0</v>
      </c>
      <c r="B20" s="54" t="s">
        <v>151</v>
      </c>
      <c r="C20" s="63">
        <v>5500.0</v>
      </c>
      <c r="D20" s="51">
        <v>4000.0</v>
      </c>
      <c r="E20" s="51" t="s">
        <v>133</v>
      </c>
      <c r="F20" s="51">
        <f t="shared" si="1"/>
        <v>3000</v>
      </c>
      <c r="G20" s="53">
        <f t="shared" si="2"/>
        <v>1000</v>
      </c>
      <c r="H20" s="53"/>
      <c r="I20" s="53"/>
      <c r="J20" s="53"/>
      <c r="K20" s="53"/>
      <c r="L20" s="53"/>
      <c r="M20" s="53"/>
      <c r="N20" s="53"/>
      <c r="O20" s="53"/>
      <c r="P20" s="53"/>
      <c r="Q20" s="53"/>
      <c r="R20" s="53"/>
      <c r="S20" s="53"/>
      <c r="T20" s="53"/>
      <c r="U20" s="53"/>
      <c r="V20" s="53"/>
      <c r="W20" s="53"/>
      <c r="X20" s="53"/>
      <c r="Y20" s="53"/>
      <c r="Z20" s="53"/>
    </row>
    <row r="21" ht="15.0" customHeight="1">
      <c r="A21" s="60">
        <v>20.0</v>
      </c>
      <c r="B21" s="61" t="s">
        <v>152</v>
      </c>
      <c r="C21" s="60">
        <v>11000.0</v>
      </c>
      <c r="D21" s="60">
        <v>11000.0</v>
      </c>
      <c r="E21" s="60" t="s">
        <v>133</v>
      </c>
      <c r="F21" s="60">
        <f t="shared" si="1"/>
        <v>8250</v>
      </c>
      <c r="G21" s="62">
        <f t="shared" si="2"/>
        <v>2750</v>
      </c>
      <c r="H21" s="62"/>
      <c r="I21" s="62"/>
      <c r="J21" s="62"/>
      <c r="K21" s="62"/>
      <c r="L21" s="62"/>
      <c r="M21" s="62"/>
      <c r="N21" s="62"/>
      <c r="O21" s="62"/>
      <c r="P21" s="62"/>
      <c r="Q21" s="62"/>
      <c r="R21" s="62"/>
      <c r="S21" s="62"/>
      <c r="T21" s="62"/>
      <c r="U21" s="62"/>
      <c r="V21" s="62"/>
      <c r="W21" s="62"/>
      <c r="X21" s="62"/>
      <c r="Y21" s="62"/>
      <c r="Z21" s="62"/>
    </row>
    <row r="22" ht="15.0" customHeight="1">
      <c r="A22" s="50">
        <v>21.0</v>
      </c>
      <c r="B22" s="49" t="s">
        <v>153</v>
      </c>
      <c r="C22" s="50">
        <v>5500.0</v>
      </c>
      <c r="D22" s="50">
        <v>5500.0</v>
      </c>
      <c r="E22" s="50" t="s">
        <v>133</v>
      </c>
      <c r="F22" s="50">
        <f t="shared" si="1"/>
        <v>4125</v>
      </c>
      <c r="G22" s="48">
        <f t="shared" si="2"/>
        <v>1375</v>
      </c>
      <c r="H22" s="48"/>
      <c r="I22" s="48"/>
      <c r="J22" s="48"/>
      <c r="K22" s="48"/>
      <c r="L22" s="48"/>
      <c r="M22" s="48"/>
      <c r="N22" s="48"/>
      <c r="O22" s="48"/>
      <c r="P22" s="48"/>
      <c r="Q22" s="48"/>
      <c r="R22" s="48"/>
      <c r="S22" s="48"/>
      <c r="T22" s="48"/>
      <c r="U22" s="48"/>
      <c r="V22" s="48"/>
      <c r="W22" s="48"/>
      <c r="X22" s="48"/>
      <c r="Y22" s="48"/>
      <c r="Z22" s="48"/>
    </row>
    <row r="23" ht="15.0" customHeight="1">
      <c r="A23" s="48">
        <v>22.0</v>
      </c>
      <c r="B23" s="49" t="s">
        <v>154</v>
      </c>
      <c r="C23" s="50">
        <v>5500.0</v>
      </c>
      <c r="D23" s="50">
        <v>5500.0</v>
      </c>
      <c r="E23" s="50" t="s">
        <v>133</v>
      </c>
      <c r="F23" s="50">
        <f t="shared" si="1"/>
        <v>4125</v>
      </c>
      <c r="G23" s="48">
        <f t="shared" si="2"/>
        <v>1375</v>
      </c>
      <c r="H23" s="48"/>
      <c r="I23" s="48"/>
      <c r="J23" s="48"/>
      <c r="K23" s="48"/>
      <c r="L23" s="48"/>
      <c r="M23" s="48"/>
      <c r="N23" s="48"/>
      <c r="O23" s="48"/>
      <c r="P23" s="48"/>
      <c r="Q23" s="48"/>
      <c r="R23" s="48"/>
      <c r="S23" s="48"/>
      <c r="T23" s="48"/>
      <c r="U23" s="48"/>
      <c r="V23" s="48"/>
      <c r="W23" s="48"/>
      <c r="X23" s="48"/>
      <c r="Y23" s="48"/>
      <c r="Z23" s="48"/>
    </row>
    <row r="24" ht="15.0" customHeight="1">
      <c r="A24" s="50">
        <v>23.0</v>
      </c>
      <c r="B24" s="49" t="s">
        <v>155</v>
      </c>
      <c r="C24" s="50">
        <v>5500.0</v>
      </c>
      <c r="D24" s="50">
        <v>5500.0</v>
      </c>
      <c r="E24" s="50" t="s">
        <v>133</v>
      </c>
      <c r="F24" s="50">
        <f t="shared" si="1"/>
        <v>4125</v>
      </c>
      <c r="G24" s="48">
        <f t="shared" si="2"/>
        <v>1375</v>
      </c>
      <c r="H24" s="48"/>
      <c r="I24" s="48"/>
      <c r="J24" s="48"/>
      <c r="K24" s="48"/>
      <c r="L24" s="48"/>
      <c r="M24" s="48"/>
      <c r="N24" s="48"/>
      <c r="O24" s="48"/>
      <c r="P24" s="48"/>
      <c r="Q24" s="48"/>
      <c r="R24" s="48"/>
      <c r="S24" s="48"/>
      <c r="T24" s="48"/>
      <c r="U24" s="48"/>
      <c r="V24" s="48"/>
      <c r="W24" s="48"/>
      <c r="X24" s="48"/>
      <c r="Y24" s="48"/>
      <c r="Z24" s="48"/>
    </row>
    <row r="25" ht="15.0" customHeight="1">
      <c r="A25" s="50">
        <v>24.0</v>
      </c>
      <c r="B25" s="49" t="s">
        <v>156</v>
      </c>
      <c r="C25" s="50">
        <v>5500.0</v>
      </c>
      <c r="D25" s="50">
        <v>5500.0</v>
      </c>
      <c r="E25" s="50" t="s">
        <v>133</v>
      </c>
      <c r="F25" s="50">
        <f t="shared" si="1"/>
        <v>4125</v>
      </c>
      <c r="G25" s="48">
        <f t="shared" si="2"/>
        <v>1375</v>
      </c>
      <c r="H25" s="48"/>
      <c r="I25" s="48"/>
      <c r="J25" s="48"/>
      <c r="K25" s="48"/>
      <c r="L25" s="48"/>
      <c r="M25" s="48"/>
      <c r="N25" s="48"/>
      <c r="O25" s="48"/>
      <c r="P25" s="48"/>
      <c r="Q25" s="48"/>
      <c r="R25" s="48"/>
      <c r="S25" s="48"/>
      <c r="T25" s="48"/>
      <c r="U25" s="48"/>
      <c r="V25" s="48"/>
      <c r="W25" s="48"/>
      <c r="X25" s="48"/>
      <c r="Y25" s="48"/>
      <c r="Z25" s="48"/>
    </row>
    <row r="26" ht="15.0" customHeight="1">
      <c r="A26" s="50">
        <v>25.0</v>
      </c>
      <c r="B26" s="49" t="s">
        <v>157</v>
      </c>
      <c r="C26" s="50">
        <v>5500.0</v>
      </c>
      <c r="D26" s="50">
        <v>5500.0</v>
      </c>
      <c r="E26" s="50" t="s">
        <v>133</v>
      </c>
      <c r="F26" s="50">
        <f t="shared" si="1"/>
        <v>4125</v>
      </c>
      <c r="G26" s="48">
        <f t="shared" si="2"/>
        <v>1375</v>
      </c>
      <c r="H26" s="48"/>
      <c r="I26" s="48"/>
      <c r="J26" s="48"/>
      <c r="K26" s="48"/>
      <c r="L26" s="48"/>
      <c r="M26" s="48"/>
      <c r="N26" s="48"/>
      <c r="O26" s="48"/>
      <c r="P26" s="48"/>
      <c r="Q26" s="48"/>
      <c r="R26" s="48"/>
      <c r="S26" s="48"/>
      <c r="T26" s="48"/>
      <c r="U26" s="48"/>
      <c r="V26" s="48"/>
      <c r="W26" s="48"/>
      <c r="X26" s="48"/>
      <c r="Y26" s="48"/>
      <c r="Z26" s="48"/>
    </row>
    <row r="27" ht="15.0" customHeight="1">
      <c r="A27" s="50">
        <v>26.0</v>
      </c>
      <c r="B27" s="49" t="s">
        <v>158</v>
      </c>
      <c r="C27" s="50">
        <v>5500.0</v>
      </c>
      <c r="D27" s="50">
        <v>5500.0</v>
      </c>
      <c r="E27" s="50" t="s">
        <v>133</v>
      </c>
      <c r="F27" s="50">
        <f t="shared" si="1"/>
        <v>4125</v>
      </c>
      <c r="G27" s="48">
        <f t="shared" si="2"/>
        <v>1375</v>
      </c>
      <c r="H27" s="48"/>
      <c r="I27" s="48"/>
      <c r="J27" s="48"/>
      <c r="K27" s="48"/>
      <c r="L27" s="48"/>
      <c r="M27" s="48"/>
      <c r="N27" s="48"/>
      <c r="O27" s="48"/>
      <c r="P27" s="48"/>
      <c r="Q27" s="48"/>
      <c r="R27" s="48"/>
      <c r="S27" s="48"/>
      <c r="T27" s="48"/>
      <c r="U27" s="48"/>
      <c r="V27" s="48"/>
      <c r="W27" s="48"/>
      <c r="X27" s="48"/>
      <c r="Y27" s="48"/>
      <c r="Z27" s="48"/>
    </row>
    <row r="28" ht="15.75" customHeight="1">
      <c r="A28" s="48">
        <v>27.0</v>
      </c>
      <c r="B28" s="49" t="s">
        <v>159</v>
      </c>
      <c r="C28" s="50">
        <v>5500.0</v>
      </c>
      <c r="D28" s="50">
        <v>5500.0</v>
      </c>
      <c r="E28" s="50" t="s">
        <v>133</v>
      </c>
      <c r="F28" s="50">
        <f t="shared" si="1"/>
        <v>4125</v>
      </c>
      <c r="G28" s="48">
        <f t="shared" si="2"/>
        <v>1375</v>
      </c>
      <c r="H28" s="48"/>
      <c r="I28" s="48"/>
      <c r="J28" s="48"/>
      <c r="K28" s="48"/>
      <c r="L28" s="48"/>
      <c r="M28" s="48"/>
      <c r="N28" s="48"/>
      <c r="O28" s="48"/>
      <c r="P28" s="48"/>
      <c r="Q28" s="48"/>
      <c r="R28" s="48"/>
      <c r="S28" s="48"/>
      <c r="T28" s="48"/>
      <c r="U28" s="48"/>
      <c r="V28" s="48"/>
      <c r="W28" s="48"/>
      <c r="X28" s="48"/>
      <c r="Y28" s="48"/>
      <c r="Z28" s="48"/>
    </row>
    <row r="29" ht="15.75" customHeight="1">
      <c r="A29" s="60">
        <v>28.0</v>
      </c>
      <c r="B29" s="61" t="s">
        <v>160</v>
      </c>
      <c r="C29" s="60">
        <v>13000.0</v>
      </c>
      <c r="D29" s="60">
        <v>13000.0</v>
      </c>
      <c r="E29" s="60" t="s">
        <v>133</v>
      </c>
      <c r="F29" s="60">
        <f t="shared" si="1"/>
        <v>9750</v>
      </c>
      <c r="G29" s="62">
        <f t="shared" si="2"/>
        <v>3250</v>
      </c>
      <c r="H29" s="62"/>
      <c r="I29" s="62"/>
      <c r="J29" s="62"/>
      <c r="K29" s="62"/>
      <c r="L29" s="62"/>
      <c r="M29" s="62"/>
      <c r="N29" s="62"/>
      <c r="O29" s="62"/>
      <c r="P29" s="62"/>
      <c r="Q29" s="62"/>
      <c r="R29" s="62"/>
      <c r="S29" s="62"/>
      <c r="T29" s="62"/>
      <c r="U29" s="62"/>
      <c r="V29" s="62"/>
      <c r="W29" s="62"/>
      <c r="X29" s="62"/>
      <c r="Y29" s="62"/>
      <c r="Z29" s="62"/>
    </row>
    <row r="30" ht="15.75" customHeight="1">
      <c r="A30" s="64">
        <v>29.0</v>
      </c>
      <c r="B30" s="65" t="s">
        <v>161</v>
      </c>
      <c r="C30" s="64">
        <v>8500.0</v>
      </c>
      <c r="D30" s="64">
        <v>9500.0</v>
      </c>
      <c r="E30" s="64" t="s">
        <v>133</v>
      </c>
      <c r="F30" s="64">
        <f t="shared" si="1"/>
        <v>7125</v>
      </c>
      <c r="G30" s="66">
        <f t="shared" si="2"/>
        <v>2375</v>
      </c>
      <c r="H30" s="66"/>
      <c r="I30" s="66"/>
      <c r="J30" s="66"/>
      <c r="K30" s="66"/>
      <c r="L30" s="66"/>
      <c r="M30" s="66"/>
      <c r="N30" s="66"/>
      <c r="O30" s="66"/>
      <c r="P30" s="66"/>
      <c r="Q30" s="66"/>
      <c r="R30" s="66"/>
      <c r="S30" s="66"/>
      <c r="T30" s="66"/>
      <c r="U30" s="66"/>
      <c r="V30" s="66"/>
      <c r="W30" s="66"/>
      <c r="X30" s="66"/>
      <c r="Y30" s="66"/>
      <c r="Z30" s="66"/>
    </row>
    <row r="31" ht="15.75" customHeight="1">
      <c r="A31" s="50">
        <v>30.0</v>
      </c>
      <c r="B31" s="49" t="s">
        <v>162</v>
      </c>
      <c r="C31" s="50">
        <v>5500.0</v>
      </c>
      <c r="D31" s="50">
        <v>5500.0</v>
      </c>
      <c r="E31" s="50" t="s">
        <v>133</v>
      </c>
      <c r="F31" s="50">
        <f t="shared" si="1"/>
        <v>4125</v>
      </c>
      <c r="G31" s="48">
        <f t="shared" si="2"/>
        <v>1375</v>
      </c>
      <c r="H31" s="48"/>
      <c r="I31" s="48"/>
      <c r="J31" s="48"/>
      <c r="K31" s="48"/>
      <c r="L31" s="48"/>
      <c r="M31" s="48"/>
      <c r="N31" s="48"/>
      <c r="O31" s="48"/>
      <c r="P31" s="48"/>
      <c r="Q31" s="48"/>
      <c r="R31" s="48"/>
      <c r="S31" s="48"/>
      <c r="T31" s="48"/>
      <c r="U31" s="48"/>
      <c r="V31" s="48"/>
      <c r="W31" s="48"/>
      <c r="X31" s="48"/>
      <c r="Y31" s="48"/>
      <c r="Z31" s="48"/>
    </row>
    <row r="32" ht="15.75" customHeight="1">
      <c r="A32" s="50">
        <v>31.0</v>
      </c>
      <c r="B32" s="49" t="s">
        <v>163</v>
      </c>
      <c r="C32" s="50">
        <v>5500.0</v>
      </c>
      <c r="D32" s="50">
        <v>5500.0</v>
      </c>
      <c r="E32" s="50" t="s">
        <v>133</v>
      </c>
      <c r="F32" s="50">
        <f t="shared" si="1"/>
        <v>4125</v>
      </c>
      <c r="G32" s="48">
        <f t="shared" si="2"/>
        <v>1375</v>
      </c>
      <c r="H32" s="48"/>
      <c r="I32" s="48"/>
      <c r="J32" s="48"/>
      <c r="K32" s="48"/>
      <c r="L32" s="48"/>
      <c r="M32" s="48"/>
      <c r="N32" s="48"/>
      <c r="O32" s="48"/>
      <c r="P32" s="48"/>
      <c r="Q32" s="48"/>
      <c r="R32" s="48"/>
      <c r="S32" s="48"/>
      <c r="T32" s="48"/>
      <c r="U32" s="48"/>
      <c r="V32" s="48"/>
      <c r="W32" s="48"/>
      <c r="X32" s="48"/>
      <c r="Y32" s="48"/>
      <c r="Z32" s="48"/>
    </row>
    <row r="33" ht="15.75" customHeight="1">
      <c r="A33" s="48">
        <v>32.0</v>
      </c>
      <c r="B33" s="49" t="s">
        <v>164</v>
      </c>
      <c r="C33" s="50">
        <v>5500.0</v>
      </c>
      <c r="D33" s="50">
        <v>5500.0</v>
      </c>
      <c r="E33" s="50" t="s">
        <v>133</v>
      </c>
      <c r="F33" s="50">
        <f t="shared" si="1"/>
        <v>4125</v>
      </c>
      <c r="G33" s="48">
        <f t="shared" si="2"/>
        <v>1375</v>
      </c>
      <c r="H33" s="48"/>
      <c r="I33" s="48"/>
      <c r="J33" s="48"/>
      <c r="K33" s="48"/>
      <c r="L33" s="48"/>
      <c r="M33" s="48"/>
      <c r="N33" s="48"/>
      <c r="O33" s="48"/>
      <c r="P33" s="48"/>
      <c r="Q33" s="48"/>
      <c r="R33" s="48"/>
      <c r="S33" s="48"/>
      <c r="T33" s="48"/>
      <c r="U33" s="48"/>
      <c r="V33" s="48"/>
      <c r="W33" s="48"/>
      <c r="X33" s="48"/>
      <c r="Y33" s="48"/>
      <c r="Z33" s="48"/>
    </row>
    <row r="34" ht="15.75" customHeight="1">
      <c r="A34" s="50">
        <v>33.0</v>
      </c>
      <c r="B34" s="49" t="s">
        <v>165</v>
      </c>
      <c r="C34" s="50">
        <v>5500.0</v>
      </c>
      <c r="D34" s="50">
        <v>5500.0</v>
      </c>
      <c r="E34" s="50" t="s">
        <v>133</v>
      </c>
      <c r="F34" s="50">
        <f t="shared" si="1"/>
        <v>4125</v>
      </c>
      <c r="G34" s="48">
        <f t="shared" si="2"/>
        <v>1375</v>
      </c>
      <c r="H34" s="48"/>
      <c r="I34" s="48"/>
      <c r="J34" s="48"/>
      <c r="K34" s="48"/>
      <c r="L34" s="48"/>
      <c r="M34" s="48"/>
      <c r="N34" s="48"/>
      <c r="O34" s="48"/>
      <c r="P34" s="48"/>
      <c r="Q34" s="48"/>
      <c r="R34" s="48"/>
      <c r="S34" s="48"/>
      <c r="T34" s="48"/>
      <c r="U34" s="48"/>
      <c r="V34" s="48"/>
      <c r="W34" s="48"/>
      <c r="X34" s="48"/>
      <c r="Y34" s="48"/>
      <c r="Z34" s="48"/>
    </row>
    <row r="35" ht="15.75" customHeight="1">
      <c r="A35" s="50">
        <v>34.0</v>
      </c>
      <c r="B35" s="49" t="s">
        <v>166</v>
      </c>
      <c r="C35" s="50">
        <v>5500.0</v>
      </c>
      <c r="D35" s="50">
        <v>5500.0</v>
      </c>
      <c r="E35" s="50" t="s">
        <v>133</v>
      </c>
      <c r="F35" s="50">
        <f t="shared" si="1"/>
        <v>4125</v>
      </c>
      <c r="G35" s="48">
        <f t="shared" si="2"/>
        <v>1375</v>
      </c>
      <c r="H35" s="48"/>
      <c r="I35" s="48"/>
      <c r="J35" s="48"/>
      <c r="K35" s="48"/>
      <c r="L35" s="48"/>
      <c r="M35" s="48"/>
      <c r="N35" s="48"/>
      <c r="O35" s="48"/>
      <c r="P35" s="48"/>
      <c r="Q35" s="48"/>
      <c r="R35" s="48"/>
      <c r="S35" s="48"/>
      <c r="T35" s="48"/>
      <c r="U35" s="48"/>
      <c r="V35" s="48"/>
      <c r="W35" s="48"/>
      <c r="X35" s="48"/>
      <c r="Y35" s="48"/>
      <c r="Z35" s="48"/>
    </row>
    <row r="36" ht="15.75" customHeight="1">
      <c r="A36" s="50">
        <v>35.0</v>
      </c>
      <c r="B36" s="49" t="s">
        <v>167</v>
      </c>
      <c r="C36" s="50">
        <v>5500.0</v>
      </c>
      <c r="D36" s="50">
        <v>5500.0</v>
      </c>
      <c r="E36" s="50" t="s">
        <v>133</v>
      </c>
      <c r="F36" s="50">
        <f t="shared" si="1"/>
        <v>4125</v>
      </c>
      <c r="G36" s="48">
        <f t="shared" si="2"/>
        <v>1375</v>
      </c>
      <c r="H36" s="48"/>
      <c r="I36" s="48"/>
      <c r="J36" s="48"/>
      <c r="K36" s="48"/>
      <c r="L36" s="48"/>
      <c r="M36" s="48"/>
      <c r="N36" s="48"/>
      <c r="O36" s="48"/>
      <c r="P36" s="48"/>
      <c r="Q36" s="48"/>
      <c r="R36" s="48"/>
      <c r="S36" s="48"/>
      <c r="T36" s="48"/>
      <c r="U36" s="48"/>
      <c r="V36" s="48"/>
      <c r="W36" s="48"/>
      <c r="X36" s="48"/>
      <c r="Y36" s="48"/>
      <c r="Z36" s="48"/>
    </row>
    <row r="37" ht="15.75" customHeight="1">
      <c r="A37" s="50">
        <v>36.0</v>
      </c>
      <c r="B37" s="49" t="s">
        <v>168</v>
      </c>
      <c r="C37" s="50">
        <v>5500.0</v>
      </c>
      <c r="D37" s="50">
        <v>5500.0</v>
      </c>
      <c r="E37" s="50" t="s">
        <v>133</v>
      </c>
      <c r="F37" s="50">
        <f t="shared" si="1"/>
        <v>4125</v>
      </c>
      <c r="G37" s="48">
        <f t="shared" si="2"/>
        <v>1375</v>
      </c>
      <c r="H37" s="48"/>
      <c r="I37" s="48"/>
      <c r="J37" s="48"/>
      <c r="K37" s="48"/>
      <c r="L37" s="48"/>
      <c r="M37" s="48"/>
      <c r="N37" s="48"/>
      <c r="O37" s="48"/>
      <c r="P37" s="48"/>
      <c r="Q37" s="48"/>
      <c r="R37" s="48"/>
      <c r="S37" s="48"/>
      <c r="T37" s="48"/>
      <c r="U37" s="48"/>
      <c r="V37" s="48"/>
      <c r="W37" s="48"/>
      <c r="X37" s="48"/>
      <c r="Y37" s="48"/>
      <c r="Z37" s="48"/>
    </row>
    <row r="38" ht="15.75" customHeight="1">
      <c r="A38" s="50"/>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50"/>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50"/>
      <c r="B40" s="46" t="s">
        <v>169</v>
      </c>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50"/>
      <c r="B41" s="48"/>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50"/>
      <c r="B42" s="48"/>
      <c r="C42" s="48"/>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50"/>
      <c r="B43" s="48"/>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50"/>
      <c r="B44" s="48"/>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50"/>
      <c r="B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50"/>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50"/>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50"/>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50"/>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50"/>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50"/>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t="s">
        <v>170</v>
      </c>
      <c r="C54" s="48" t="s">
        <v>171</v>
      </c>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t="s">
        <v>172</v>
      </c>
      <c r="C55" s="48">
        <v>15000.0</v>
      </c>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t="s">
        <v>173</v>
      </c>
      <c r="C56" s="48">
        <v>12000.0</v>
      </c>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t="s">
        <v>174</v>
      </c>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D241" s="48"/>
    </row>
    <row r="242" ht="15.75" customHeight="1">
      <c r="D242" s="48"/>
    </row>
    <row r="243" ht="15.75" customHeight="1">
      <c r="D243" s="48"/>
    </row>
    <row r="244" ht="15.75" customHeight="1">
      <c r="D244" s="48"/>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6.43"/>
    <col customWidth="1" min="2" max="2" width="41.71"/>
    <col customWidth="1" min="3" max="3" width="31.71"/>
    <col customWidth="1" min="6" max="6" width="22.86"/>
  </cols>
  <sheetData>
    <row r="1">
      <c r="A1" s="67" t="s">
        <v>175</v>
      </c>
      <c r="B1" s="46" t="s">
        <v>126</v>
      </c>
      <c r="C1" s="46" t="s">
        <v>127</v>
      </c>
      <c r="D1" s="47" t="s">
        <v>128</v>
      </c>
      <c r="E1" s="46" t="s">
        <v>129</v>
      </c>
      <c r="F1" s="46" t="s">
        <v>130</v>
      </c>
      <c r="G1" s="46" t="s">
        <v>131</v>
      </c>
      <c r="H1" s="48"/>
      <c r="I1" s="48"/>
      <c r="J1" s="48"/>
      <c r="K1" s="48"/>
      <c r="L1" s="48"/>
      <c r="M1" s="48"/>
      <c r="N1" s="48"/>
      <c r="O1" s="48"/>
      <c r="P1" s="48"/>
      <c r="Q1" s="48"/>
      <c r="R1" s="48"/>
      <c r="S1" s="48"/>
      <c r="T1" s="48"/>
      <c r="U1" s="48"/>
      <c r="V1" s="48"/>
      <c r="W1" s="48"/>
      <c r="X1" s="48"/>
      <c r="Y1" s="48"/>
      <c r="Z1" s="48"/>
    </row>
    <row r="2" ht="14.25" customHeight="1">
      <c r="A2" s="48">
        <v>1.0</v>
      </c>
      <c r="B2" s="49" t="s">
        <v>132</v>
      </c>
      <c r="C2" s="68">
        <v>5500.0</v>
      </c>
      <c r="D2" s="50">
        <v>5500.0</v>
      </c>
      <c r="E2" s="50" t="s">
        <v>133</v>
      </c>
      <c r="F2" s="50">
        <f t="shared" ref="F2:F37" si="1">(75/100)*D2</f>
        <v>4125</v>
      </c>
      <c r="G2" s="48">
        <f t="shared" ref="G2:G37" si="2">D2-F2</f>
        <v>1375</v>
      </c>
      <c r="H2" s="48"/>
      <c r="I2" s="48"/>
      <c r="J2" s="48"/>
      <c r="K2" s="48"/>
      <c r="L2" s="48"/>
      <c r="M2" s="48"/>
      <c r="N2" s="48"/>
      <c r="O2" s="48"/>
      <c r="P2" s="48"/>
      <c r="Q2" s="48"/>
      <c r="R2" s="48"/>
      <c r="S2" s="48"/>
      <c r="T2" s="48"/>
      <c r="U2" s="48"/>
      <c r="V2" s="48"/>
      <c r="W2" s="48"/>
      <c r="X2" s="48"/>
      <c r="Y2" s="48"/>
      <c r="Z2" s="48"/>
    </row>
    <row r="3" ht="15.0" customHeight="1">
      <c r="A3" s="51">
        <v>2.0</v>
      </c>
      <c r="B3" s="52" t="s">
        <v>134</v>
      </c>
      <c r="C3" s="68">
        <v>5500.0</v>
      </c>
      <c r="D3" s="50">
        <v>5500.0</v>
      </c>
      <c r="E3" s="51" t="s">
        <v>133</v>
      </c>
      <c r="F3" s="51">
        <f t="shared" si="1"/>
        <v>4125</v>
      </c>
      <c r="G3" s="53">
        <f t="shared" si="2"/>
        <v>1375</v>
      </c>
      <c r="H3" s="53"/>
      <c r="I3" s="53"/>
      <c r="J3" s="53"/>
      <c r="K3" s="53"/>
      <c r="L3" s="53"/>
      <c r="M3" s="53"/>
      <c r="N3" s="53"/>
      <c r="O3" s="53"/>
      <c r="P3" s="53"/>
      <c r="Q3" s="53"/>
      <c r="R3" s="53"/>
      <c r="S3" s="53"/>
      <c r="T3" s="53"/>
      <c r="U3" s="53"/>
      <c r="V3" s="53"/>
      <c r="W3" s="53"/>
      <c r="X3" s="53"/>
      <c r="Y3" s="53"/>
      <c r="Z3" s="53"/>
    </row>
    <row r="4" ht="15.0" customHeight="1">
      <c r="A4" s="50">
        <v>3.0</v>
      </c>
      <c r="B4" s="49" t="s">
        <v>135</v>
      </c>
      <c r="C4" s="68">
        <v>5500.0</v>
      </c>
      <c r="D4" s="50">
        <v>5500.0</v>
      </c>
      <c r="E4" s="50" t="s">
        <v>133</v>
      </c>
      <c r="F4" s="50">
        <f t="shared" si="1"/>
        <v>4125</v>
      </c>
      <c r="G4" s="48">
        <f t="shared" si="2"/>
        <v>1375</v>
      </c>
      <c r="H4" s="48"/>
      <c r="I4" s="48"/>
      <c r="J4" s="48"/>
      <c r="K4" s="48"/>
      <c r="L4" s="48"/>
      <c r="M4" s="48"/>
      <c r="N4" s="48"/>
      <c r="O4" s="48"/>
      <c r="P4" s="48"/>
      <c r="Q4" s="48"/>
      <c r="R4" s="48"/>
      <c r="S4" s="48"/>
      <c r="T4" s="48"/>
      <c r="U4" s="48"/>
      <c r="V4" s="48"/>
      <c r="W4" s="48"/>
      <c r="X4" s="48"/>
      <c r="Y4" s="48"/>
      <c r="Z4" s="48"/>
    </row>
    <row r="5" ht="15.0" customHeight="1">
      <c r="A5" s="48">
        <v>4.0</v>
      </c>
      <c r="B5" s="49" t="s">
        <v>136</v>
      </c>
      <c r="C5" s="68">
        <v>5500.0</v>
      </c>
      <c r="D5" s="50">
        <v>5500.0</v>
      </c>
      <c r="E5" s="50" t="s">
        <v>133</v>
      </c>
      <c r="F5" s="50">
        <f t="shared" si="1"/>
        <v>4125</v>
      </c>
      <c r="G5" s="48">
        <f t="shared" si="2"/>
        <v>1375</v>
      </c>
      <c r="H5" s="48"/>
      <c r="I5" s="48"/>
      <c r="J5" s="48"/>
      <c r="K5" s="48"/>
      <c r="L5" s="48"/>
      <c r="M5" s="48"/>
      <c r="N5" s="48"/>
      <c r="O5" s="48"/>
      <c r="P5" s="48"/>
      <c r="Q5" s="48"/>
      <c r="R5" s="48"/>
      <c r="S5" s="48"/>
      <c r="T5" s="48"/>
      <c r="U5" s="48"/>
      <c r="V5" s="48"/>
      <c r="W5" s="48"/>
      <c r="X5" s="48"/>
      <c r="Y5" s="48"/>
      <c r="Z5" s="48"/>
    </row>
    <row r="6" ht="15.0" customHeight="1">
      <c r="A6" s="50">
        <v>5.0</v>
      </c>
      <c r="B6" s="49" t="s">
        <v>137</v>
      </c>
      <c r="C6" s="68">
        <v>5500.0</v>
      </c>
      <c r="D6" s="50">
        <v>5500.0</v>
      </c>
      <c r="E6" s="50" t="s">
        <v>133</v>
      </c>
      <c r="F6" s="50">
        <f t="shared" si="1"/>
        <v>4125</v>
      </c>
      <c r="G6" s="48">
        <f t="shared" si="2"/>
        <v>1375</v>
      </c>
      <c r="H6" s="48"/>
      <c r="I6" s="48"/>
      <c r="J6" s="48"/>
      <c r="K6" s="48"/>
      <c r="L6" s="48"/>
      <c r="M6" s="48"/>
      <c r="N6" s="48"/>
      <c r="O6" s="48"/>
      <c r="P6" s="48"/>
      <c r="Q6" s="48"/>
      <c r="R6" s="48"/>
      <c r="S6" s="48"/>
      <c r="T6" s="48"/>
      <c r="U6" s="48"/>
      <c r="V6" s="48"/>
      <c r="W6" s="48"/>
      <c r="X6" s="48"/>
      <c r="Y6" s="48"/>
      <c r="Z6" s="48"/>
    </row>
    <row r="7" ht="15.0" customHeight="1">
      <c r="A7" s="50">
        <v>6.0</v>
      </c>
      <c r="B7" s="49" t="s">
        <v>138</v>
      </c>
      <c r="C7" s="68">
        <v>5500.0</v>
      </c>
      <c r="D7" s="50">
        <v>5500.0</v>
      </c>
      <c r="E7" s="50" t="s">
        <v>133</v>
      </c>
      <c r="F7" s="50">
        <f t="shared" si="1"/>
        <v>4125</v>
      </c>
      <c r="G7" s="48">
        <f t="shared" si="2"/>
        <v>1375</v>
      </c>
      <c r="H7" s="48"/>
      <c r="I7" s="48"/>
      <c r="J7" s="48"/>
      <c r="K7" s="48"/>
      <c r="L7" s="48"/>
      <c r="M7" s="48"/>
      <c r="N7" s="48"/>
      <c r="O7" s="48"/>
      <c r="P7" s="48"/>
      <c r="Q7" s="48"/>
      <c r="R7" s="48"/>
      <c r="S7" s="48"/>
      <c r="T7" s="48"/>
      <c r="U7" s="48"/>
      <c r="V7" s="48"/>
      <c r="W7" s="48"/>
      <c r="X7" s="48"/>
      <c r="Y7" s="48"/>
      <c r="Z7" s="48"/>
    </row>
    <row r="8" ht="15.0" customHeight="1">
      <c r="A8" s="48">
        <v>7.0</v>
      </c>
      <c r="B8" s="49" t="s">
        <v>139</v>
      </c>
      <c r="C8" s="68">
        <v>5500.0</v>
      </c>
      <c r="D8" s="50">
        <v>5500.0</v>
      </c>
      <c r="E8" s="50" t="s">
        <v>133</v>
      </c>
      <c r="F8" s="50">
        <f t="shared" si="1"/>
        <v>4125</v>
      </c>
      <c r="G8" s="48">
        <f t="shared" si="2"/>
        <v>1375</v>
      </c>
      <c r="H8" s="48"/>
      <c r="I8" s="48"/>
      <c r="J8" s="48"/>
      <c r="K8" s="48"/>
      <c r="L8" s="48"/>
      <c r="M8" s="48"/>
      <c r="N8" s="48"/>
      <c r="O8" s="48"/>
      <c r="P8" s="48"/>
      <c r="Q8" s="48"/>
      <c r="R8" s="48"/>
      <c r="S8" s="48"/>
      <c r="T8" s="48"/>
      <c r="U8" s="48"/>
      <c r="V8" s="48"/>
      <c r="W8" s="48"/>
      <c r="X8" s="48"/>
      <c r="Y8" s="48"/>
      <c r="Z8" s="48"/>
    </row>
    <row r="9" ht="15.0" customHeight="1">
      <c r="A9" s="50">
        <v>8.0</v>
      </c>
      <c r="B9" s="49" t="s">
        <v>140</v>
      </c>
      <c r="C9" s="68">
        <v>5500.0</v>
      </c>
      <c r="D9" s="50">
        <v>5500.0</v>
      </c>
      <c r="E9" s="50" t="s">
        <v>133</v>
      </c>
      <c r="F9" s="50">
        <f t="shared" si="1"/>
        <v>4125</v>
      </c>
      <c r="G9" s="48">
        <f t="shared" si="2"/>
        <v>1375</v>
      </c>
      <c r="H9" s="48"/>
      <c r="I9" s="48"/>
      <c r="J9" s="48"/>
      <c r="K9" s="48"/>
      <c r="L9" s="48"/>
      <c r="M9" s="48"/>
      <c r="N9" s="48"/>
      <c r="O9" s="48"/>
      <c r="P9" s="48"/>
      <c r="Q9" s="48"/>
      <c r="R9" s="48"/>
      <c r="S9" s="48"/>
      <c r="T9" s="48"/>
      <c r="U9" s="48"/>
      <c r="V9" s="48"/>
      <c r="W9" s="48"/>
      <c r="X9" s="48"/>
      <c r="Y9" s="48"/>
      <c r="Z9" s="48"/>
    </row>
    <row r="10" ht="15.0" customHeight="1">
      <c r="A10" s="50">
        <v>9.0</v>
      </c>
      <c r="B10" s="55" t="s">
        <v>141</v>
      </c>
      <c r="C10" s="68">
        <v>5500.0</v>
      </c>
      <c r="D10" s="50">
        <v>5500.0</v>
      </c>
      <c r="E10" s="50" t="s">
        <v>133</v>
      </c>
      <c r="F10" s="50">
        <f t="shared" si="1"/>
        <v>4125</v>
      </c>
      <c r="G10" s="48">
        <f t="shared" si="2"/>
        <v>1375</v>
      </c>
      <c r="H10" s="48"/>
      <c r="I10" s="48"/>
      <c r="J10" s="48"/>
      <c r="K10" s="48"/>
      <c r="L10" s="48"/>
      <c r="M10" s="48"/>
      <c r="N10" s="48"/>
      <c r="O10" s="48"/>
      <c r="P10" s="48"/>
      <c r="Q10" s="48"/>
      <c r="R10" s="48"/>
      <c r="S10" s="48"/>
      <c r="T10" s="48"/>
      <c r="U10" s="48"/>
      <c r="V10" s="48"/>
      <c r="W10" s="48"/>
      <c r="X10" s="48"/>
      <c r="Y10" s="48"/>
      <c r="Z10" s="48"/>
    </row>
    <row r="11" ht="15.0" customHeight="1">
      <c r="A11" s="50">
        <v>10.0</v>
      </c>
      <c r="B11" s="49" t="s">
        <v>142</v>
      </c>
      <c r="C11" s="68">
        <v>5500.0</v>
      </c>
      <c r="D11" s="50">
        <v>5500.0</v>
      </c>
      <c r="E11" s="50" t="s">
        <v>133</v>
      </c>
      <c r="F11" s="50">
        <f t="shared" si="1"/>
        <v>4125</v>
      </c>
      <c r="G11" s="48">
        <f t="shared" si="2"/>
        <v>1375</v>
      </c>
      <c r="H11" s="48"/>
      <c r="I11" s="48"/>
      <c r="J11" s="48"/>
      <c r="K11" s="48"/>
      <c r="L11" s="48"/>
      <c r="M11" s="48"/>
      <c r="N11" s="48"/>
      <c r="O11" s="48"/>
      <c r="P11" s="48"/>
      <c r="Q11" s="48"/>
      <c r="R11" s="48"/>
      <c r="S11" s="48"/>
      <c r="T11" s="48"/>
      <c r="U11" s="48"/>
      <c r="V11" s="48"/>
      <c r="W11" s="48"/>
      <c r="X11" s="48"/>
      <c r="Y11" s="48"/>
      <c r="Z11" s="48"/>
    </row>
    <row r="12" ht="15.0" customHeight="1">
      <c r="A12" s="50">
        <v>11.0</v>
      </c>
      <c r="B12" s="49" t="s">
        <v>143</v>
      </c>
      <c r="C12" s="68">
        <v>5500.0</v>
      </c>
      <c r="D12" s="50">
        <v>5500.0</v>
      </c>
      <c r="E12" s="50" t="s">
        <v>133</v>
      </c>
      <c r="F12" s="50">
        <f t="shared" si="1"/>
        <v>4125</v>
      </c>
      <c r="G12" s="48">
        <f t="shared" si="2"/>
        <v>1375</v>
      </c>
      <c r="H12" s="48"/>
      <c r="I12" s="48"/>
      <c r="J12" s="48"/>
      <c r="K12" s="48"/>
      <c r="L12" s="48"/>
      <c r="M12" s="48"/>
      <c r="N12" s="48"/>
      <c r="O12" s="48"/>
      <c r="P12" s="48"/>
      <c r="Q12" s="48"/>
      <c r="R12" s="48"/>
      <c r="S12" s="48"/>
      <c r="T12" s="48"/>
      <c r="U12" s="48"/>
      <c r="V12" s="48"/>
      <c r="W12" s="48"/>
      <c r="X12" s="48"/>
      <c r="Y12" s="48"/>
      <c r="Z12" s="48"/>
    </row>
    <row r="13" ht="15.0" customHeight="1">
      <c r="A13" s="48">
        <v>12.0</v>
      </c>
      <c r="B13" s="49" t="s">
        <v>144</v>
      </c>
      <c r="C13" s="68">
        <v>5500.0</v>
      </c>
      <c r="D13" s="50">
        <v>5500.0</v>
      </c>
      <c r="E13" s="50" t="s">
        <v>133</v>
      </c>
      <c r="F13" s="50">
        <f t="shared" si="1"/>
        <v>4125</v>
      </c>
      <c r="G13" s="48">
        <f t="shared" si="2"/>
        <v>1375</v>
      </c>
      <c r="H13" s="48"/>
      <c r="I13" s="48"/>
      <c r="J13" s="48"/>
      <c r="K13" s="48"/>
      <c r="L13" s="48"/>
      <c r="M13" s="48"/>
      <c r="N13" s="48"/>
      <c r="O13" s="48"/>
      <c r="P13" s="48"/>
      <c r="Q13" s="48"/>
      <c r="R13" s="48"/>
      <c r="S13" s="48"/>
      <c r="T13" s="48"/>
      <c r="U13" s="48"/>
      <c r="V13" s="48"/>
      <c r="W13" s="48"/>
      <c r="X13" s="48"/>
      <c r="Y13" s="48"/>
      <c r="Z13" s="48"/>
    </row>
    <row r="14" ht="15.0" customHeight="1">
      <c r="A14" s="50">
        <v>13.0</v>
      </c>
      <c r="B14" s="49" t="s">
        <v>145</v>
      </c>
      <c r="C14" s="68">
        <v>5500.0</v>
      </c>
      <c r="D14" s="50">
        <v>5500.0</v>
      </c>
      <c r="E14" s="50" t="s">
        <v>133</v>
      </c>
      <c r="F14" s="50">
        <f t="shared" si="1"/>
        <v>4125</v>
      </c>
      <c r="G14" s="48">
        <f t="shared" si="2"/>
        <v>1375</v>
      </c>
      <c r="H14" s="48"/>
      <c r="I14" s="48"/>
      <c r="J14" s="48"/>
      <c r="K14" s="48"/>
      <c r="L14" s="48"/>
      <c r="M14" s="48"/>
      <c r="N14" s="48"/>
      <c r="O14" s="48"/>
      <c r="P14" s="48"/>
      <c r="Q14" s="48"/>
      <c r="R14" s="48"/>
      <c r="S14" s="48"/>
      <c r="T14" s="48"/>
      <c r="U14" s="48"/>
      <c r="V14" s="48"/>
      <c r="W14" s="48"/>
      <c r="X14" s="48"/>
      <c r="Y14" s="48"/>
      <c r="Z14" s="48"/>
    </row>
    <row r="15" ht="15.0" customHeight="1">
      <c r="A15" s="50">
        <v>14.0</v>
      </c>
      <c r="B15" s="49" t="s">
        <v>146</v>
      </c>
      <c r="C15" s="68">
        <v>5500.0</v>
      </c>
      <c r="D15" s="50">
        <v>5500.0</v>
      </c>
      <c r="E15" s="50" t="s">
        <v>133</v>
      </c>
      <c r="F15" s="50">
        <f t="shared" si="1"/>
        <v>4125</v>
      </c>
      <c r="G15" s="48">
        <f t="shared" si="2"/>
        <v>1375</v>
      </c>
      <c r="H15" s="48"/>
      <c r="I15" s="48"/>
      <c r="J15" s="48"/>
      <c r="K15" s="48"/>
      <c r="L15" s="48"/>
      <c r="M15" s="48"/>
      <c r="N15" s="48"/>
      <c r="O15" s="48"/>
      <c r="P15" s="48"/>
      <c r="Q15" s="48"/>
      <c r="R15" s="48"/>
      <c r="S15" s="48"/>
      <c r="T15" s="48"/>
      <c r="U15" s="48"/>
      <c r="V15" s="48"/>
      <c r="W15" s="48"/>
      <c r="X15" s="48"/>
      <c r="Y15" s="48"/>
      <c r="Z15" s="48"/>
    </row>
    <row r="16" ht="15.0" customHeight="1">
      <c r="A16" s="50">
        <v>15.0</v>
      </c>
      <c r="B16" s="49" t="s">
        <v>147</v>
      </c>
      <c r="C16" s="68">
        <v>5500.0</v>
      </c>
      <c r="D16" s="50">
        <v>5500.0</v>
      </c>
      <c r="E16" s="50" t="s">
        <v>133</v>
      </c>
      <c r="F16" s="50">
        <f t="shared" si="1"/>
        <v>4125</v>
      </c>
      <c r="G16" s="48">
        <f t="shared" si="2"/>
        <v>1375</v>
      </c>
      <c r="H16" s="48"/>
      <c r="I16" s="48"/>
      <c r="J16" s="48"/>
      <c r="K16" s="48"/>
      <c r="L16" s="48"/>
      <c r="M16" s="48"/>
      <c r="N16" s="48"/>
      <c r="O16" s="48"/>
      <c r="P16" s="48"/>
      <c r="Q16" s="48"/>
      <c r="R16" s="48"/>
      <c r="S16" s="48"/>
      <c r="T16" s="48"/>
      <c r="U16" s="48"/>
      <c r="V16" s="48"/>
      <c r="W16" s="48"/>
      <c r="X16" s="48"/>
      <c r="Y16" s="48"/>
      <c r="Z16" s="48"/>
    </row>
    <row r="17" ht="15.0" customHeight="1">
      <c r="A17" s="50">
        <v>16.0</v>
      </c>
      <c r="B17" s="49" t="s">
        <v>148</v>
      </c>
      <c r="C17" s="68">
        <v>5500.0</v>
      </c>
      <c r="D17" s="50">
        <v>5500.0</v>
      </c>
      <c r="E17" s="50" t="s">
        <v>133</v>
      </c>
      <c r="F17" s="50">
        <f t="shared" si="1"/>
        <v>4125</v>
      </c>
      <c r="G17" s="48">
        <f t="shared" si="2"/>
        <v>1375</v>
      </c>
      <c r="H17" s="48"/>
      <c r="I17" s="48"/>
      <c r="J17" s="48"/>
      <c r="K17" s="48"/>
      <c r="L17" s="48"/>
      <c r="M17" s="48"/>
      <c r="N17" s="48"/>
      <c r="O17" s="48"/>
      <c r="P17" s="48"/>
      <c r="Q17" s="48"/>
      <c r="R17" s="48"/>
      <c r="S17" s="48"/>
      <c r="T17" s="48"/>
      <c r="U17" s="48"/>
      <c r="V17" s="48"/>
      <c r="W17" s="48"/>
      <c r="X17" s="48"/>
      <c r="Y17" s="48"/>
      <c r="Z17" s="48"/>
    </row>
    <row r="18" ht="15.0" customHeight="1">
      <c r="A18" s="48">
        <v>17.0</v>
      </c>
      <c r="B18" s="49" t="s">
        <v>149</v>
      </c>
      <c r="C18" s="69">
        <v>6500.0</v>
      </c>
      <c r="D18" s="50">
        <v>5500.0</v>
      </c>
      <c r="E18" s="50" t="s">
        <v>133</v>
      </c>
      <c r="F18" s="50">
        <f t="shared" si="1"/>
        <v>4125</v>
      </c>
      <c r="G18" s="48">
        <f t="shared" si="2"/>
        <v>1375</v>
      </c>
      <c r="H18" s="48"/>
      <c r="I18" s="48"/>
      <c r="J18" s="48"/>
      <c r="K18" s="48"/>
      <c r="L18" s="48"/>
      <c r="M18" s="48"/>
      <c r="N18" s="48"/>
      <c r="O18" s="48"/>
      <c r="P18" s="48"/>
      <c r="Q18" s="48"/>
      <c r="R18" s="48"/>
      <c r="S18" s="48"/>
      <c r="T18" s="48"/>
      <c r="U18" s="48"/>
      <c r="V18" s="48"/>
      <c r="W18" s="48"/>
      <c r="X18" s="48"/>
      <c r="Y18" s="48"/>
      <c r="Z18" s="48"/>
    </row>
    <row r="19" ht="15.0" customHeight="1">
      <c r="A19" s="70">
        <v>18.0</v>
      </c>
      <c r="B19" s="71" t="s">
        <v>150</v>
      </c>
      <c r="C19" s="72">
        <v>6500.0</v>
      </c>
      <c r="D19" s="71">
        <v>7500.0</v>
      </c>
      <c r="E19" s="70" t="s">
        <v>133</v>
      </c>
      <c r="F19" s="70">
        <f t="shared" si="1"/>
        <v>5625</v>
      </c>
      <c r="G19" s="73">
        <f t="shared" si="2"/>
        <v>1875</v>
      </c>
      <c r="H19" s="73"/>
      <c r="I19" s="73"/>
      <c r="J19" s="73"/>
      <c r="K19" s="73"/>
      <c r="L19" s="73"/>
      <c r="M19" s="73"/>
      <c r="N19" s="73"/>
      <c r="O19" s="73"/>
      <c r="P19" s="73"/>
      <c r="Q19" s="73"/>
      <c r="R19" s="73"/>
      <c r="S19" s="73"/>
      <c r="T19" s="73"/>
      <c r="U19" s="73"/>
      <c r="V19" s="73"/>
      <c r="W19" s="73"/>
      <c r="X19" s="73"/>
      <c r="Y19" s="73"/>
      <c r="Z19" s="73"/>
    </row>
    <row r="20" ht="15.0" customHeight="1">
      <c r="A20" s="51">
        <v>19.0</v>
      </c>
      <c r="B20" s="54" t="s">
        <v>151</v>
      </c>
      <c r="C20" s="74">
        <v>5500.0</v>
      </c>
      <c r="D20" s="54">
        <v>5500.0</v>
      </c>
      <c r="E20" s="51" t="s">
        <v>133</v>
      </c>
      <c r="F20" s="51">
        <f t="shared" si="1"/>
        <v>4125</v>
      </c>
      <c r="G20" s="53">
        <f t="shared" si="2"/>
        <v>1375</v>
      </c>
      <c r="H20" s="53"/>
      <c r="I20" s="53"/>
      <c r="J20" s="53"/>
      <c r="K20" s="53"/>
      <c r="L20" s="53"/>
      <c r="M20" s="53"/>
      <c r="N20" s="53"/>
      <c r="O20" s="53"/>
      <c r="P20" s="53"/>
      <c r="Q20" s="53"/>
      <c r="R20" s="53"/>
      <c r="S20" s="53"/>
      <c r="T20" s="53"/>
      <c r="U20" s="53"/>
      <c r="V20" s="53"/>
      <c r="W20" s="53"/>
      <c r="X20" s="53"/>
      <c r="Y20" s="53"/>
      <c r="Z20" s="53"/>
    </row>
    <row r="21" ht="15.0" customHeight="1">
      <c r="A21" s="70">
        <v>20.0</v>
      </c>
      <c r="B21" s="71" t="s">
        <v>152</v>
      </c>
      <c r="C21" s="72">
        <v>12500.0</v>
      </c>
      <c r="D21" s="71">
        <v>12500.0</v>
      </c>
      <c r="E21" s="70" t="s">
        <v>133</v>
      </c>
      <c r="F21" s="70">
        <f t="shared" si="1"/>
        <v>9375</v>
      </c>
      <c r="G21" s="73">
        <f t="shared" si="2"/>
        <v>3125</v>
      </c>
      <c r="H21" s="73"/>
      <c r="I21" s="73"/>
      <c r="J21" s="73"/>
      <c r="K21" s="73"/>
      <c r="L21" s="73"/>
      <c r="M21" s="73"/>
      <c r="N21" s="73"/>
      <c r="O21" s="73"/>
      <c r="P21" s="73"/>
      <c r="Q21" s="73"/>
      <c r="R21" s="73"/>
      <c r="S21" s="73"/>
      <c r="T21" s="73"/>
      <c r="U21" s="73"/>
      <c r="V21" s="73"/>
      <c r="W21" s="73"/>
      <c r="X21" s="73"/>
      <c r="Y21" s="73"/>
      <c r="Z21" s="73"/>
    </row>
    <row r="22" ht="15.0" customHeight="1">
      <c r="A22" s="50">
        <v>21.0</v>
      </c>
      <c r="B22" s="49" t="s">
        <v>153</v>
      </c>
      <c r="C22" s="68">
        <v>5500.0</v>
      </c>
      <c r="D22" s="50">
        <v>5500.0</v>
      </c>
      <c r="E22" s="50" t="s">
        <v>133</v>
      </c>
      <c r="F22" s="50">
        <f t="shared" si="1"/>
        <v>4125</v>
      </c>
      <c r="G22" s="48">
        <f t="shared" si="2"/>
        <v>1375</v>
      </c>
      <c r="H22" s="48"/>
      <c r="I22" s="48"/>
      <c r="J22" s="48"/>
      <c r="K22" s="48"/>
      <c r="L22" s="48"/>
      <c r="M22" s="48"/>
      <c r="N22" s="48"/>
      <c r="O22" s="48"/>
      <c r="P22" s="48"/>
      <c r="Q22" s="48"/>
      <c r="R22" s="48"/>
      <c r="S22" s="48"/>
      <c r="T22" s="48"/>
      <c r="U22" s="48"/>
      <c r="V22" s="48"/>
      <c r="W22" s="48"/>
      <c r="X22" s="48"/>
      <c r="Y22" s="48"/>
      <c r="Z22" s="48"/>
    </row>
    <row r="23" ht="15.0" customHeight="1">
      <c r="A23" s="48">
        <v>22.0</v>
      </c>
      <c r="B23" s="49" t="s">
        <v>154</v>
      </c>
      <c r="C23" s="68">
        <v>5500.0</v>
      </c>
      <c r="D23" s="50">
        <v>5500.0</v>
      </c>
      <c r="E23" s="50" t="s">
        <v>133</v>
      </c>
      <c r="F23" s="50">
        <f t="shared" si="1"/>
        <v>4125</v>
      </c>
      <c r="G23" s="48">
        <f t="shared" si="2"/>
        <v>1375</v>
      </c>
      <c r="H23" s="48"/>
      <c r="I23" s="48"/>
      <c r="J23" s="48"/>
      <c r="K23" s="48"/>
      <c r="L23" s="48"/>
      <c r="M23" s="48"/>
      <c r="N23" s="48"/>
      <c r="O23" s="48"/>
      <c r="P23" s="48"/>
      <c r="Q23" s="48"/>
      <c r="R23" s="48"/>
      <c r="S23" s="48"/>
      <c r="T23" s="48"/>
      <c r="U23" s="48"/>
      <c r="V23" s="48"/>
      <c r="W23" s="48"/>
      <c r="X23" s="48"/>
      <c r="Y23" s="48"/>
      <c r="Z23" s="48"/>
    </row>
    <row r="24" ht="15.0" customHeight="1">
      <c r="A24" s="50">
        <v>23.0</v>
      </c>
      <c r="B24" s="49" t="s">
        <v>155</v>
      </c>
      <c r="C24" s="68">
        <v>5500.0</v>
      </c>
      <c r="D24" s="50">
        <v>5500.0</v>
      </c>
      <c r="E24" s="50" t="s">
        <v>133</v>
      </c>
      <c r="F24" s="50">
        <f t="shared" si="1"/>
        <v>4125</v>
      </c>
      <c r="G24" s="48">
        <f t="shared" si="2"/>
        <v>1375</v>
      </c>
      <c r="H24" s="48"/>
      <c r="I24" s="48"/>
      <c r="J24" s="48"/>
      <c r="K24" s="48"/>
      <c r="L24" s="48"/>
      <c r="M24" s="48"/>
      <c r="N24" s="48"/>
      <c r="O24" s="48"/>
      <c r="P24" s="48"/>
      <c r="Q24" s="48"/>
      <c r="R24" s="48"/>
      <c r="S24" s="48"/>
      <c r="T24" s="48"/>
      <c r="U24" s="48"/>
      <c r="V24" s="48"/>
      <c r="W24" s="48"/>
      <c r="X24" s="48"/>
      <c r="Y24" s="48"/>
      <c r="Z24" s="48"/>
    </row>
    <row r="25" ht="15.0" customHeight="1">
      <c r="A25" s="50">
        <v>24.0</v>
      </c>
      <c r="B25" s="49" t="s">
        <v>156</v>
      </c>
      <c r="C25" s="68">
        <v>5500.0</v>
      </c>
      <c r="D25" s="50">
        <v>5500.0</v>
      </c>
      <c r="E25" s="50" t="s">
        <v>133</v>
      </c>
      <c r="F25" s="50">
        <f t="shared" si="1"/>
        <v>4125</v>
      </c>
      <c r="G25" s="48">
        <f t="shared" si="2"/>
        <v>1375</v>
      </c>
      <c r="H25" s="48"/>
      <c r="I25" s="48"/>
      <c r="J25" s="48"/>
      <c r="K25" s="48"/>
      <c r="L25" s="48"/>
      <c r="M25" s="48"/>
      <c r="N25" s="48"/>
      <c r="O25" s="48"/>
      <c r="P25" s="48"/>
      <c r="Q25" s="48"/>
      <c r="R25" s="48"/>
      <c r="S25" s="48"/>
      <c r="T25" s="48"/>
      <c r="U25" s="48"/>
      <c r="V25" s="48"/>
      <c r="W25" s="48"/>
      <c r="X25" s="48"/>
      <c r="Y25" s="48"/>
      <c r="Z25" s="48"/>
    </row>
    <row r="26" ht="15.0" customHeight="1">
      <c r="A26" s="50">
        <v>25.0</v>
      </c>
      <c r="B26" s="49" t="s">
        <v>157</v>
      </c>
      <c r="C26" s="68">
        <v>5500.0</v>
      </c>
      <c r="D26" s="50">
        <v>5500.0</v>
      </c>
      <c r="E26" s="50" t="s">
        <v>133</v>
      </c>
      <c r="F26" s="50">
        <f t="shared" si="1"/>
        <v>4125</v>
      </c>
      <c r="G26" s="48">
        <f t="shared" si="2"/>
        <v>1375</v>
      </c>
      <c r="H26" s="48"/>
      <c r="I26" s="48"/>
      <c r="J26" s="48"/>
      <c r="K26" s="48"/>
      <c r="L26" s="48"/>
      <c r="M26" s="48"/>
      <c r="N26" s="48"/>
      <c r="O26" s="48"/>
      <c r="P26" s="48"/>
      <c r="Q26" s="48"/>
      <c r="R26" s="48"/>
      <c r="S26" s="48"/>
      <c r="T26" s="48"/>
      <c r="U26" s="48"/>
      <c r="V26" s="48"/>
      <c r="W26" s="48"/>
      <c r="X26" s="48"/>
      <c r="Y26" s="48"/>
      <c r="Z26" s="48"/>
    </row>
    <row r="27" ht="15.0" customHeight="1">
      <c r="A27" s="50">
        <v>26.0</v>
      </c>
      <c r="B27" s="49" t="s">
        <v>158</v>
      </c>
      <c r="C27" s="68">
        <v>5500.0</v>
      </c>
      <c r="D27" s="50">
        <v>5500.0</v>
      </c>
      <c r="E27" s="50" t="s">
        <v>133</v>
      </c>
      <c r="F27" s="50">
        <f t="shared" si="1"/>
        <v>4125</v>
      </c>
      <c r="G27" s="48">
        <f t="shared" si="2"/>
        <v>1375</v>
      </c>
      <c r="H27" s="48"/>
      <c r="I27" s="48"/>
      <c r="J27" s="48"/>
      <c r="K27" s="48"/>
      <c r="L27" s="48"/>
      <c r="M27" s="48"/>
      <c r="N27" s="48"/>
      <c r="O27" s="48"/>
      <c r="P27" s="48"/>
      <c r="Q27" s="48"/>
      <c r="R27" s="48"/>
      <c r="S27" s="48"/>
      <c r="T27" s="48"/>
      <c r="U27" s="48"/>
      <c r="V27" s="48"/>
      <c r="W27" s="48"/>
      <c r="X27" s="48"/>
      <c r="Y27" s="48"/>
      <c r="Z27" s="48"/>
    </row>
    <row r="28" ht="15.75" customHeight="1">
      <c r="A28" s="48">
        <v>27.0</v>
      </c>
      <c r="B28" s="49" t="s">
        <v>159</v>
      </c>
      <c r="C28" s="68">
        <v>5500.0</v>
      </c>
      <c r="D28" s="50">
        <v>5500.0</v>
      </c>
      <c r="E28" s="50" t="s">
        <v>133</v>
      </c>
      <c r="F28" s="50">
        <f t="shared" si="1"/>
        <v>4125</v>
      </c>
      <c r="G28" s="48">
        <f t="shared" si="2"/>
        <v>1375</v>
      </c>
      <c r="H28" s="48"/>
      <c r="I28" s="48"/>
      <c r="J28" s="48"/>
      <c r="K28" s="48"/>
      <c r="L28" s="48"/>
      <c r="M28" s="48"/>
      <c r="N28" s="48"/>
      <c r="O28" s="48"/>
      <c r="P28" s="48"/>
      <c r="Q28" s="48"/>
      <c r="R28" s="48"/>
      <c r="S28" s="48"/>
      <c r="T28" s="48"/>
      <c r="U28" s="48"/>
      <c r="V28" s="48"/>
      <c r="W28" s="48"/>
      <c r="X28" s="48"/>
      <c r="Y28" s="48"/>
      <c r="Z28" s="48"/>
    </row>
    <row r="29" ht="15.75" customHeight="1">
      <c r="A29" s="50">
        <v>28.0</v>
      </c>
      <c r="B29" s="49" t="s">
        <v>160</v>
      </c>
      <c r="C29" s="72">
        <v>14500.0</v>
      </c>
      <c r="D29" s="50">
        <v>5500.0</v>
      </c>
      <c r="E29" s="50" t="s">
        <v>133</v>
      </c>
      <c r="F29" s="50">
        <f t="shared" si="1"/>
        <v>4125</v>
      </c>
      <c r="G29" s="48">
        <f t="shared" si="2"/>
        <v>1375</v>
      </c>
      <c r="H29" s="48"/>
      <c r="I29" s="48"/>
      <c r="J29" s="48"/>
      <c r="K29" s="48"/>
      <c r="L29" s="48"/>
      <c r="M29" s="48"/>
      <c r="N29" s="48"/>
      <c r="O29" s="48"/>
      <c r="P29" s="48"/>
      <c r="Q29" s="48"/>
      <c r="R29" s="48"/>
      <c r="S29" s="48"/>
      <c r="T29" s="48"/>
      <c r="U29" s="48"/>
      <c r="V29" s="48"/>
      <c r="W29" s="48"/>
      <c r="X29" s="48"/>
      <c r="Y29" s="48"/>
      <c r="Z29" s="48"/>
    </row>
    <row r="30" ht="15.75" customHeight="1">
      <c r="A30" s="50">
        <v>29.0</v>
      </c>
      <c r="B30" s="49" t="s">
        <v>161</v>
      </c>
      <c r="C30" s="75">
        <v>10000.0</v>
      </c>
      <c r="D30" s="50">
        <v>5500.0</v>
      </c>
      <c r="E30" s="50" t="s">
        <v>133</v>
      </c>
      <c r="F30" s="50">
        <f t="shared" si="1"/>
        <v>4125</v>
      </c>
      <c r="G30" s="48">
        <f t="shared" si="2"/>
        <v>1375</v>
      </c>
      <c r="H30" s="48"/>
      <c r="I30" s="48"/>
      <c r="J30" s="48"/>
      <c r="K30" s="48"/>
      <c r="L30" s="48"/>
      <c r="M30" s="48"/>
      <c r="N30" s="48"/>
      <c r="O30" s="48"/>
      <c r="P30" s="48"/>
      <c r="Q30" s="48"/>
      <c r="R30" s="48"/>
      <c r="S30" s="48"/>
      <c r="T30" s="48"/>
      <c r="U30" s="48"/>
      <c r="V30" s="48"/>
      <c r="W30" s="48"/>
      <c r="X30" s="48"/>
      <c r="Y30" s="48"/>
      <c r="Z30" s="48"/>
    </row>
    <row r="31" ht="15.75" customHeight="1">
      <c r="A31" s="50">
        <v>30.0</v>
      </c>
      <c r="B31" s="49" t="s">
        <v>162</v>
      </c>
      <c r="C31" s="68">
        <v>5500.0</v>
      </c>
      <c r="D31" s="50">
        <v>5500.0</v>
      </c>
      <c r="E31" s="50" t="s">
        <v>133</v>
      </c>
      <c r="F31" s="50">
        <f t="shared" si="1"/>
        <v>4125</v>
      </c>
      <c r="G31" s="48">
        <f t="shared" si="2"/>
        <v>1375</v>
      </c>
      <c r="H31" s="48"/>
      <c r="I31" s="48"/>
      <c r="J31" s="48"/>
      <c r="K31" s="48"/>
      <c r="L31" s="48"/>
      <c r="M31" s="48"/>
      <c r="N31" s="48"/>
      <c r="O31" s="48"/>
      <c r="P31" s="48"/>
      <c r="Q31" s="48"/>
      <c r="R31" s="48"/>
      <c r="S31" s="48"/>
      <c r="T31" s="48"/>
      <c r="U31" s="48"/>
      <c r="V31" s="48"/>
      <c r="W31" s="48"/>
      <c r="X31" s="48"/>
      <c r="Y31" s="48"/>
      <c r="Z31" s="48"/>
    </row>
    <row r="32" ht="15.75" customHeight="1">
      <c r="A32" s="50">
        <v>31.0</v>
      </c>
      <c r="B32" s="49" t="s">
        <v>163</v>
      </c>
      <c r="C32" s="68">
        <v>5500.0</v>
      </c>
      <c r="D32" s="50">
        <v>5500.0</v>
      </c>
      <c r="E32" s="50" t="s">
        <v>133</v>
      </c>
      <c r="F32" s="50">
        <f t="shared" si="1"/>
        <v>4125</v>
      </c>
      <c r="G32" s="48">
        <f t="shared" si="2"/>
        <v>1375</v>
      </c>
      <c r="H32" s="48"/>
      <c r="I32" s="48"/>
      <c r="J32" s="48"/>
      <c r="K32" s="48"/>
      <c r="L32" s="48"/>
      <c r="M32" s="48"/>
      <c r="N32" s="48"/>
      <c r="O32" s="48"/>
      <c r="P32" s="48"/>
      <c r="Q32" s="48"/>
      <c r="R32" s="48"/>
      <c r="S32" s="48"/>
      <c r="T32" s="48"/>
      <c r="U32" s="48"/>
      <c r="V32" s="48"/>
      <c r="W32" s="48"/>
      <c r="X32" s="48"/>
      <c r="Y32" s="48"/>
      <c r="Z32" s="48"/>
    </row>
    <row r="33" ht="15.75" customHeight="1">
      <c r="A33" s="53">
        <v>32.0</v>
      </c>
      <c r="B33" s="54" t="s">
        <v>164</v>
      </c>
      <c r="C33" s="68">
        <v>5500.0</v>
      </c>
      <c r="D33" s="50">
        <v>5500.0</v>
      </c>
      <c r="E33" s="51" t="s">
        <v>133</v>
      </c>
      <c r="F33" s="51">
        <f t="shared" si="1"/>
        <v>4125</v>
      </c>
      <c r="G33" s="53">
        <f t="shared" si="2"/>
        <v>1375</v>
      </c>
      <c r="H33" s="53"/>
      <c r="I33" s="53"/>
      <c r="J33" s="53"/>
      <c r="K33" s="53"/>
      <c r="L33" s="53"/>
      <c r="M33" s="53"/>
      <c r="N33" s="53"/>
      <c r="O33" s="53"/>
      <c r="P33" s="53"/>
      <c r="Q33" s="53"/>
      <c r="R33" s="53"/>
      <c r="S33" s="53"/>
      <c r="T33" s="53"/>
      <c r="U33" s="53"/>
      <c r="V33" s="53"/>
      <c r="W33" s="53"/>
      <c r="X33" s="53"/>
      <c r="Y33" s="53"/>
      <c r="Z33" s="53"/>
    </row>
    <row r="34" ht="15.75" customHeight="1">
      <c r="A34" s="50">
        <v>33.0</v>
      </c>
      <c r="B34" s="49" t="s">
        <v>165</v>
      </c>
      <c r="C34" s="68">
        <v>5500.0</v>
      </c>
      <c r="D34" s="50">
        <v>5500.0</v>
      </c>
      <c r="E34" s="50" t="s">
        <v>133</v>
      </c>
      <c r="F34" s="50">
        <f t="shared" si="1"/>
        <v>4125</v>
      </c>
      <c r="G34" s="48">
        <f t="shared" si="2"/>
        <v>1375</v>
      </c>
      <c r="H34" s="48"/>
      <c r="I34" s="48"/>
      <c r="J34" s="48"/>
      <c r="K34" s="48"/>
      <c r="L34" s="48"/>
      <c r="M34" s="48"/>
      <c r="N34" s="48"/>
      <c r="O34" s="48"/>
      <c r="P34" s="48"/>
      <c r="Q34" s="48"/>
      <c r="R34" s="48"/>
      <c r="S34" s="48"/>
      <c r="T34" s="48"/>
      <c r="U34" s="48"/>
      <c r="V34" s="48"/>
      <c r="W34" s="48"/>
      <c r="X34" s="48"/>
      <c r="Y34" s="48"/>
      <c r="Z34" s="48"/>
    </row>
    <row r="35" ht="15.75" customHeight="1">
      <c r="A35" s="50">
        <v>34.0</v>
      </c>
      <c r="B35" s="49" t="s">
        <v>166</v>
      </c>
      <c r="C35" s="68">
        <v>5500.0</v>
      </c>
      <c r="D35" s="50">
        <v>5500.0</v>
      </c>
      <c r="E35" s="50" t="s">
        <v>133</v>
      </c>
      <c r="F35" s="50">
        <f t="shared" si="1"/>
        <v>4125</v>
      </c>
      <c r="G35" s="48">
        <f t="shared" si="2"/>
        <v>1375</v>
      </c>
      <c r="H35" s="48"/>
      <c r="I35" s="48"/>
      <c r="J35" s="48"/>
      <c r="K35" s="48"/>
      <c r="L35" s="48"/>
      <c r="M35" s="48"/>
      <c r="N35" s="48"/>
      <c r="O35" s="48"/>
      <c r="P35" s="48"/>
      <c r="Q35" s="48"/>
      <c r="R35" s="48"/>
      <c r="S35" s="48"/>
      <c r="T35" s="48"/>
      <c r="U35" s="48"/>
      <c r="V35" s="48"/>
      <c r="W35" s="48"/>
      <c r="X35" s="48"/>
      <c r="Y35" s="48"/>
      <c r="Z35" s="48"/>
    </row>
    <row r="36" ht="15.75" customHeight="1">
      <c r="A36" s="50">
        <v>35.0</v>
      </c>
      <c r="B36" s="49" t="s">
        <v>167</v>
      </c>
      <c r="C36" s="68">
        <v>5500.0</v>
      </c>
      <c r="D36" s="50">
        <v>5500.0</v>
      </c>
      <c r="E36" s="50" t="s">
        <v>133</v>
      </c>
      <c r="F36" s="50">
        <f t="shared" si="1"/>
        <v>4125</v>
      </c>
      <c r="G36" s="48">
        <f t="shared" si="2"/>
        <v>1375</v>
      </c>
      <c r="H36" s="48"/>
      <c r="I36" s="48"/>
      <c r="J36" s="48"/>
      <c r="K36" s="48"/>
      <c r="L36" s="48"/>
      <c r="M36" s="48"/>
      <c r="N36" s="48"/>
      <c r="O36" s="48"/>
      <c r="P36" s="48"/>
      <c r="Q36" s="48"/>
      <c r="R36" s="48"/>
      <c r="S36" s="48"/>
      <c r="T36" s="48"/>
      <c r="U36" s="48"/>
      <c r="V36" s="48"/>
      <c r="W36" s="48"/>
      <c r="X36" s="48"/>
      <c r="Y36" s="48"/>
      <c r="Z36" s="48"/>
    </row>
    <row r="37" ht="15.75" customHeight="1">
      <c r="A37" s="50">
        <v>36.0</v>
      </c>
      <c r="B37" s="49" t="s">
        <v>168</v>
      </c>
      <c r="C37" s="68">
        <v>5500.0</v>
      </c>
      <c r="D37" s="50">
        <v>5500.0</v>
      </c>
      <c r="E37" s="50" t="s">
        <v>133</v>
      </c>
      <c r="F37" s="50">
        <f t="shared" si="1"/>
        <v>4125</v>
      </c>
      <c r="G37" s="48">
        <f t="shared" si="2"/>
        <v>1375</v>
      </c>
      <c r="H37" s="48"/>
      <c r="I37" s="48"/>
      <c r="J37" s="48"/>
      <c r="K37" s="48"/>
      <c r="L37" s="48"/>
      <c r="M37" s="48"/>
      <c r="N37" s="48"/>
      <c r="O37" s="48"/>
      <c r="P37" s="48"/>
      <c r="Q37" s="48"/>
      <c r="R37" s="48"/>
      <c r="S37" s="48"/>
      <c r="T37" s="48"/>
      <c r="U37" s="48"/>
      <c r="V37" s="48"/>
      <c r="W37" s="48"/>
      <c r="X37" s="48"/>
      <c r="Y37" s="48"/>
      <c r="Z37" s="48"/>
    </row>
    <row r="38" ht="15.75" customHeight="1">
      <c r="A38" s="48"/>
      <c r="B38" s="48"/>
      <c r="C38" s="48"/>
      <c r="D38" s="48"/>
      <c r="E38" s="48"/>
      <c r="F38" s="48"/>
      <c r="G38" s="48"/>
      <c r="H38" s="48"/>
      <c r="I38" s="48"/>
      <c r="J38" s="48"/>
      <c r="K38" s="48"/>
      <c r="L38" s="48"/>
      <c r="M38" s="48"/>
      <c r="N38" s="48"/>
      <c r="O38" s="48"/>
      <c r="P38" s="48"/>
      <c r="Q38" s="48"/>
      <c r="R38" s="48"/>
      <c r="S38" s="48"/>
      <c r="T38" s="48"/>
      <c r="U38" s="48"/>
      <c r="V38" s="48"/>
      <c r="W38" s="48"/>
      <c r="X38" s="48"/>
      <c r="Y38" s="48"/>
      <c r="Z38" s="48"/>
    </row>
    <row r="39" ht="15.75" customHeight="1">
      <c r="A39" s="48"/>
      <c r="B39" s="48"/>
      <c r="C39" s="48"/>
      <c r="D39" s="48"/>
      <c r="E39" s="48"/>
      <c r="F39" s="48"/>
      <c r="G39" s="48"/>
      <c r="H39" s="48"/>
      <c r="I39" s="48"/>
      <c r="J39" s="48"/>
      <c r="K39" s="48"/>
      <c r="L39" s="48"/>
      <c r="M39" s="48"/>
      <c r="N39" s="48"/>
      <c r="O39" s="48"/>
      <c r="P39" s="48"/>
      <c r="Q39" s="48"/>
      <c r="R39" s="48"/>
      <c r="S39" s="48"/>
      <c r="T39" s="48"/>
      <c r="U39" s="48"/>
      <c r="V39" s="48"/>
      <c r="W39" s="48"/>
      <c r="X39" s="48"/>
      <c r="Y39" s="48"/>
      <c r="Z39" s="48"/>
    </row>
    <row r="40" ht="15.75" customHeight="1">
      <c r="A40" s="48"/>
      <c r="B40" s="48"/>
      <c r="C40" s="48"/>
      <c r="D40" s="48"/>
      <c r="E40" s="48"/>
      <c r="F40" s="48"/>
      <c r="G40" s="48"/>
      <c r="H40" s="48"/>
      <c r="I40" s="48"/>
      <c r="J40" s="48"/>
      <c r="K40" s="48"/>
      <c r="L40" s="48"/>
      <c r="M40" s="48"/>
      <c r="N40" s="48"/>
      <c r="O40" s="48"/>
      <c r="P40" s="48"/>
      <c r="Q40" s="48"/>
      <c r="R40" s="48"/>
      <c r="S40" s="48"/>
      <c r="T40" s="48"/>
      <c r="U40" s="48"/>
      <c r="V40" s="48"/>
      <c r="W40" s="48"/>
      <c r="X40" s="48"/>
      <c r="Y40" s="48"/>
      <c r="Z40" s="48"/>
    </row>
    <row r="41" ht="15.75" customHeight="1">
      <c r="A41" s="48"/>
      <c r="B41" s="76" t="s">
        <v>176</v>
      </c>
      <c r="C41" s="48"/>
      <c r="D41" s="48"/>
      <c r="E41" s="48"/>
      <c r="F41" s="48"/>
      <c r="G41" s="48"/>
      <c r="H41" s="48"/>
      <c r="I41" s="48"/>
      <c r="J41" s="48"/>
      <c r="K41" s="48"/>
      <c r="L41" s="48"/>
      <c r="M41" s="48"/>
      <c r="N41" s="48"/>
      <c r="O41" s="48"/>
      <c r="P41" s="48"/>
      <c r="Q41" s="48"/>
      <c r="R41" s="48"/>
      <c r="S41" s="48"/>
      <c r="T41" s="48"/>
      <c r="U41" s="48"/>
      <c r="V41" s="48"/>
      <c r="W41" s="48"/>
      <c r="X41" s="48"/>
      <c r="Y41" s="48"/>
      <c r="Z41" s="48"/>
    </row>
    <row r="42" ht="15.75" customHeight="1">
      <c r="A42" s="48"/>
      <c r="B42" s="48"/>
      <c r="C42" s="50"/>
      <c r="D42" s="48"/>
      <c r="E42" s="48"/>
      <c r="F42" s="48"/>
      <c r="G42" s="48"/>
      <c r="H42" s="48"/>
      <c r="I42" s="48"/>
      <c r="J42" s="48"/>
      <c r="K42" s="48"/>
      <c r="L42" s="48"/>
      <c r="M42" s="48"/>
      <c r="N42" s="48"/>
      <c r="O42" s="48"/>
      <c r="P42" s="48"/>
      <c r="Q42" s="48"/>
      <c r="R42" s="48"/>
      <c r="S42" s="48"/>
      <c r="T42" s="48"/>
      <c r="U42" s="48"/>
      <c r="V42" s="48"/>
      <c r="W42" s="48"/>
      <c r="X42" s="48"/>
      <c r="Y42" s="48"/>
      <c r="Z42" s="48"/>
    </row>
    <row r="43" ht="15.75" customHeight="1">
      <c r="A43" s="48"/>
      <c r="B43" s="50" t="s">
        <v>177</v>
      </c>
      <c r="C43" s="48"/>
      <c r="D43" s="48"/>
      <c r="E43" s="48"/>
      <c r="F43" s="48"/>
      <c r="G43" s="48"/>
      <c r="H43" s="48"/>
      <c r="I43" s="48"/>
      <c r="J43" s="48"/>
      <c r="K43" s="48"/>
      <c r="L43" s="48"/>
      <c r="M43" s="48"/>
      <c r="N43" s="48"/>
      <c r="O43" s="48"/>
      <c r="P43" s="48"/>
      <c r="Q43" s="48"/>
      <c r="R43" s="48"/>
      <c r="S43" s="48"/>
      <c r="T43" s="48"/>
      <c r="U43" s="48"/>
      <c r="V43" s="48"/>
      <c r="W43" s="48"/>
      <c r="X43" s="48"/>
      <c r="Y43" s="48"/>
      <c r="Z43" s="48"/>
    </row>
    <row r="44" ht="15.75" customHeight="1">
      <c r="A44" s="48"/>
      <c r="B44" s="77" t="s">
        <v>178</v>
      </c>
      <c r="C44" s="48"/>
      <c r="D44" s="48"/>
      <c r="E44" s="48"/>
      <c r="F44" s="48"/>
      <c r="G44" s="48"/>
      <c r="H44" s="48"/>
      <c r="I44" s="48"/>
      <c r="J44" s="48"/>
      <c r="K44" s="48"/>
      <c r="L44" s="48"/>
      <c r="M44" s="48"/>
      <c r="N44" s="48"/>
      <c r="O44" s="48"/>
      <c r="P44" s="48"/>
      <c r="Q44" s="48"/>
      <c r="R44" s="48"/>
      <c r="S44" s="48"/>
      <c r="T44" s="48"/>
      <c r="U44" s="48"/>
      <c r="V44" s="48"/>
      <c r="W44" s="48"/>
      <c r="X44" s="48"/>
      <c r="Y44" s="48"/>
      <c r="Z44" s="48"/>
    </row>
    <row r="45" ht="15.75" customHeight="1">
      <c r="A45" s="48"/>
      <c r="C45" s="48"/>
      <c r="D45" s="48"/>
      <c r="E45" s="48"/>
      <c r="F45" s="48"/>
      <c r="G45" s="48"/>
      <c r="H45" s="48"/>
      <c r="I45" s="48"/>
      <c r="J45" s="48"/>
      <c r="K45" s="48"/>
      <c r="L45" s="48"/>
      <c r="M45" s="48"/>
      <c r="N45" s="48"/>
      <c r="O45" s="48"/>
      <c r="P45" s="48"/>
      <c r="Q45" s="48"/>
      <c r="R45" s="48"/>
      <c r="S45" s="48"/>
      <c r="T45" s="48"/>
      <c r="U45" s="48"/>
      <c r="V45" s="48"/>
      <c r="W45" s="48"/>
      <c r="X45" s="48"/>
      <c r="Y45" s="48"/>
      <c r="Z45" s="48"/>
    </row>
    <row r="46" ht="15.75" customHeight="1">
      <c r="A46" s="48"/>
      <c r="B46" s="48"/>
      <c r="C46" s="48"/>
      <c r="D46" s="48"/>
      <c r="E46" s="48"/>
      <c r="F46" s="48"/>
      <c r="G46" s="48"/>
      <c r="H46" s="48"/>
      <c r="I46" s="48"/>
      <c r="J46" s="48"/>
      <c r="K46" s="48"/>
      <c r="L46" s="48"/>
      <c r="M46" s="48"/>
      <c r="N46" s="48"/>
      <c r="O46" s="48"/>
      <c r="P46" s="48"/>
      <c r="Q46" s="48"/>
      <c r="R46" s="48"/>
      <c r="S46" s="48"/>
      <c r="T46" s="48"/>
      <c r="U46" s="48"/>
      <c r="V46" s="48"/>
      <c r="W46" s="48"/>
      <c r="X46" s="48"/>
      <c r="Y46" s="48"/>
      <c r="Z46" s="48"/>
    </row>
    <row r="47" ht="15.75" customHeight="1">
      <c r="A47" s="48"/>
      <c r="B47" s="48"/>
      <c r="C47" s="48"/>
      <c r="D47" s="48"/>
      <c r="E47" s="48"/>
      <c r="F47" s="48"/>
      <c r="G47" s="48"/>
      <c r="H47" s="48"/>
      <c r="I47" s="48"/>
      <c r="J47" s="48"/>
      <c r="K47" s="48"/>
      <c r="L47" s="48"/>
      <c r="M47" s="48"/>
      <c r="N47" s="48"/>
      <c r="O47" s="48"/>
      <c r="P47" s="48"/>
      <c r="Q47" s="48"/>
      <c r="R47" s="48"/>
      <c r="S47" s="48"/>
      <c r="T47" s="48"/>
      <c r="U47" s="48"/>
      <c r="V47" s="48"/>
      <c r="W47" s="48"/>
      <c r="X47" s="48"/>
      <c r="Y47" s="48"/>
      <c r="Z47" s="48"/>
    </row>
    <row r="48" ht="15.75" customHeight="1">
      <c r="A48" s="48"/>
      <c r="B48" s="48"/>
      <c r="C48" s="48"/>
      <c r="D48" s="48"/>
      <c r="E48" s="48"/>
      <c r="F48" s="48"/>
      <c r="G48" s="48"/>
      <c r="H48" s="48"/>
      <c r="I48" s="48"/>
      <c r="J48" s="48"/>
      <c r="K48" s="48"/>
      <c r="L48" s="48"/>
      <c r="M48" s="48"/>
      <c r="N48" s="48"/>
      <c r="O48" s="48"/>
      <c r="P48" s="48"/>
      <c r="Q48" s="48"/>
      <c r="R48" s="48"/>
      <c r="S48" s="48"/>
      <c r="T48" s="48"/>
      <c r="U48" s="48"/>
      <c r="V48" s="48"/>
      <c r="W48" s="48"/>
      <c r="X48" s="48"/>
      <c r="Y48" s="48"/>
      <c r="Z48" s="48"/>
    </row>
    <row r="49" ht="15.75" customHeight="1">
      <c r="A49" s="48"/>
      <c r="B49" s="48"/>
      <c r="C49" s="48"/>
      <c r="D49" s="48"/>
      <c r="E49" s="48"/>
      <c r="F49" s="48"/>
      <c r="G49" s="48"/>
      <c r="H49" s="48"/>
      <c r="I49" s="48"/>
      <c r="J49" s="48"/>
      <c r="K49" s="48"/>
      <c r="L49" s="48"/>
      <c r="M49" s="48"/>
      <c r="N49" s="48"/>
      <c r="O49" s="48"/>
      <c r="P49" s="48"/>
      <c r="Q49" s="48"/>
      <c r="R49" s="48"/>
      <c r="S49" s="48"/>
      <c r="T49" s="48"/>
      <c r="U49" s="48"/>
      <c r="V49" s="48"/>
      <c r="W49" s="48"/>
      <c r="X49" s="48"/>
      <c r="Y49" s="48"/>
      <c r="Z49" s="48"/>
    </row>
    <row r="50" ht="15.75" customHeight="1">
      <c r="A50" s="48"/>
      <c r="B50" s="48"/>
      <c r="C50" s="48"/>
      <c r="D50" s="48"/>
      <c r="E50" s="48"/>
      <c r="F50" s="48"/>
      <c r="G50" s="48"/>
      <c r="H50" s="48"/>
      <c r="I50" s="48"/>
      <c r="J50" s="48"/>
      <c r="K50" s="48"/>
      <c r="L50" s="48"/>
      <c r="M50" s="48"/>
      <c r="N50" s="48"/>
      <c r="O50" s="48"/>
      <c r="P50" s="48"/>
      <c r="Q50" s="48"/>
      <c r="R50" s="48"/>
      <c r="S50" s="48"/>
      <c r="T50" s="48"/>
      <c r="U50" s="48"/>
      <c r="V50" s="48"/>
      <c r="W50" s="48"/>
      <c r="X50" s="48"/>
      <c r="Y50" s="48"/>
      <c r="Z50" s="48"/>
    </row>
    <row r="51" ht="15.75" customHeight="1">
      <c r="A51" s="48"/>
      <c r="B51" s="48"/>
      <c r="C51" s="48"/>
      <c r="D51" s="48"/>
      <c r="E51" s="48"/>
      <c r="F51" s="48"/>
      <c r="G51" s="48"/>
      <c r="H51" s="48"/>
      <c r="I51" s="48"/>
      <c r="J51" s="48"/>
      <c r="K51" s="48"/>
      <c r="L51" s="48"/>
      <c r="M51" s="48"/>
      <c r="N51" s="48"/>
      <c r="O51" s="48"/>
      <c r="P51" s="48"/>
      <c r="Q51" s="48"/>
      <c r="R51" s="48"/>
      <c r="S51" s="48"/>
      <c r="T51" s="48"/>
      <c r="U51" s="48"/>
      <c r="V51" s="48"/>
      <c r="W51" s="48"/>
      <c r="X51" s="48"/>
      <c r="Y51" s="48"/>
      <c r="Z51" s="48"/>
    </row>
    <row r="52" ht="15.75" customHeight="1">
      <c r="A52" s="48"/>
      <c r="B52" s="48"/>
      <c r="C52" s="48"/>
      <c r="D52" s="48"/>
      <c r="E52" s="48"/>
      <c r="F52" s="48"/>
      <c r="G52" s="48"/>
      <c r="H52" s="48"/>
      <c r="I52" s="48"/>
      <c r="J52" s="48"/>
      <c r="K52" s="48"/>
      <c r="L52" s="48"/>
      <c r="M52" s="48"/>
      <c r="N52" s="48"/>
      <c r="O52" s="48"/>
      <c r="P52" s="48"/>
      <c r="Q52" s="48"/>
      <c r="R52" s="48"/>
      <c r="S52" s="48"/>
      <c r="T52" s="48"/>
      <c r="U52" s="48"/>
      <c r="V52" s="48"/>
      <c r="W52" s="48"/>
      <c r="X52" s="48"/>
      <c r="Y52" s="48"/>
      <c r="Z52" s="48"/>
    </row>
    <row r="53" ht="15.75" customHeight="1">
      <c r="A53" s="48"/>
      <c r="B53" s="48"/>
      <c r="C53" s="48"/>
      <c r="D53" s="48"/>
      <c r="E53" s="48"/>
      <c r="F53" s="48"/>
      <c r="G53" s="48"/>
      <c r="H53" s="48"/>
      <c r="I53" s="48"/>
      <c r="J53" s="48"/>
      <c r="K53" s="48"/>
      <c r="L53" s="48"/>
      <c r="M53" s="48"/>
      <c r="N53" s="48"/>
      <c r="O53" s="48"/>
      <c r="P53" s="48"/>
      <c r="Q53" s="48"/>
      <c r="R53" s="48"/>
      <c r="S53" s="48"/>
      <c r="T53" s="48"/>
      <c r="U53" s="48"/>
      <c r="V53" s="48"/>
      <c r="W53" s="48"/>
      <c r="X53" s="48"/>
      <c r="Y53" s="48"/>
      <c r="Z53" s="48"/>
    </row>
    <row r="54" ht="15.75" customHeight="1">
      <c r="A54" s="48"/>
      <c r="B54" s="48"/>
      <c r="C54" s="48"/>
      <c r="D54" s="48"/>
      <c r="E54" s="48"/>
      <c r="F54" s="48"/>
      <c r="G54" s="48"/>
      <c r="H54" s="48"/>
      <c r="I54" s="48"/>
      <c r="J54" s="48"/>
      <c r="K54" s="48"/>
      <c r="L54" s="48"/>
      <c r="M54" s="48"/>
      <c r="N54" s="48"/>
      <c r="O54" s="48"/>
      <c r="P54" s="48"/>
      <c r="Q54" s="48"/>
      <c r="R54" s="48"/>
      <c r="S54" s="48"/>
      <c r="T54" s="48"/>
      <c r="U54" s="48"/>
      <c r="V54" s="48"/>
      <c r="W54" s="48"/>
      <c r="X54" s="48"/>
      <c r="Y54" s="48"/>
      <c r="Z54" s="48"/>
    </row>
    <row r="55" ht="15.75" customHeight="1">
      <c r="A55" s="48"/>
      <c r="B55" s="48"/>
      <c r="C55" s="48"/>
      <c r="D55" s="48"/>
      <c r="E55" s="48"/>
      <c r="F55" s="48"/>
      <c r="G55" s="48"/>
      <c r="H55" s="48"/>
      <c r="I55" s="48"/>
      <c r="J55" s="48"/>
      <c r="K55" s="48"/>
      <c r="L55" s="48"/>
      <c r="M55" s="48"/>
      <c r="N55" s="48"/>
      <c r="O55" s="48"/>
      <c r="P55" s="48"/>
      <c r="Q55" s="48"/>
      <c r="R55" s="48"/>
      <c r="S55" s="48"/>
      <c r="T55" s="48"/>
      <c r="U55" s="48"/>
      <c r="V55" s="48"/>
      <c r="W55" s="48"/>
      <c r="X55" s="48"/>
      <c r="Y55" s="48"/>
      <c r="Z55" s="48"/>
    </row>
    <row r="56" ht="15.75" customHeight="1">
      <c r="A56" s="48"/>
      <c r="B56" s="48"/>
      <c r="C56" s="48"/>
      <c r="D56" s="48"/>
      <c r="E56" s="48"/>
      <c r="F56" s="48"/>
      <c r="G56" s="48"/>
      <c r="H56" s="48"/>
      <c r="I56" s="48"/>
      <c r="J56" s="48"/>
      <c r="K56" s="48"/>
      <c r="L56" s="48"/>
      <c r="M56" s="48"/>
      <c r="N56" s="48"/>
      <c r="O56" s="48"/>
      <c r="P56" s="48"/>
      <c r="Q56" s="48"/>
      <c r="R56" s="48"/>
      <c r="S56" s="48"/>
      <c r="T56" s="48"/>
      <c r="U56" s="48"/>
      <c r="V56" s="48"/>
      <c r="W56" s="48"/>
      <c r="X56" s="48"/>
      <c r="Y56" s="48"/>
      <c r="Z56" s="48"/>
    </row>
    <row r="57" ht="15.75" customHeight="1">
      <c r="A57" s="48"/>
      <c r="B57" s="48"/>
      <c r="C57" s="48"/>
      <c r="D57" s="48"/>
      <c r="E57" s="48"/>
      <c r="F57" s="48"/>
      <c r="G57" s="48"/>
      <c r="H57" s="48"/>
      <c r="I57" s="48"/>
      <c r="J57" s="48"/>
      <c r="K57" s="48"/>
      <c r="L57" s="48"/>
      <c r="M57" s="48"/>
      <c r="N57" s="48"/>
      <c r="O57" s="48"/>
      <c r="P57" s="48"/>
      <c r="Q57" s="48"/>
      <c r="R57" s="48"/>
      <c r="S57" s="48"/>
      <c r="T57" s="48"/>
      <c r="U57" s="48"/>
      <c r="V57" s="48"/>
      <c r="W57" s="48"/>
      <c r="X57" s="48"/>
      <c r="Y57" s="48"/>
      <c r="Z57" s="48"/>
    </row>
    <row r="58" ht="15.75" customHeight="1">
      <c r="A58" s="48"/>
      <c r="B58" s="48"/>
      <c r="C58" s="48"/>
      <c r="D58" s="48"/>
      <c r="E58" s="48"/>
      <c r="F58" s="48"/>
      <c r="G58" s="48"/>
      <c r="H58" s="48"/>
      <c r="I58" s="48"/>
      <c r="J58" s="48"/>
      <c r="K58" s="48"/>
      <c r="L58" s="48"/>
      <c r="M58" s="48"/>
      <c r="N58" s="48"/>
      <c r="O58" s="48"/>
      <c r="P58" s="48"/>
      <c r="Q58" s="48"/>
      <c r="R58" s="48"/>
      <c r="S58" s="48"/>
      <c r="T58" s="48"/>
      <c r="U58" s="48"/>
      <c r="V58" s="48"/>
      <c r="W58" s="48"/>
      <c r="X58" s="48"/>
      <c r="Y58" s="48"/>
      <c r="Z58" s="48"/>
    </row>
    <row r="59" ht="15.75" customHeight="1">
      <c r="A59" s="48"/>
      <c r="B59" s="48"/>
      <c r="C59" s="48"/>
      <c r="D59" s="48"/>
      <c r="E59" s="48"/>
      <c r="F59" s="48"/>
      <c r="G59" s="48"/>
      <c r="H59" s="48"/>
      <c r="I59" s="48"/>
      <c r="J59" s="48"/>
      <c r="K59" s="48"/>
      <c r="L59" s="48"/>
      <c r="M59" s="48"/>
      <c r="N59" s="48"/>
      <c r="O59" s="48"/>
      <c r="P59" s="48"/>
      <c r="Q59" s="48"/>
      <c r="R59" s="48"/>
      <c r="S59" s="48"/>
      <c r="T59" s="48"/>
      <c r="U59" s="48"/>
      <c r="V59" s="48"/>
      <c r="W59" s="48"/>
      <c r="X59" s="48"/>
      <c r="Y59" s="48"/>
      <c r="Z59" s="48"/>
    </row>
    <row r="60" ht="15.75" customHeight="1">
      <c r="A60" s="48"/>
      <c r="B60" s="48"/>
      <c r="C60" s="48"/>
      <c r="D60" s="48"/>
      <c r="E60" s="48"/>
      <c r="F60" s="48"/>
      <c r="G60" s="48"/>
      <c r="H60" s="48"/>
      <c r="I60" s="48"/>
      <c r="J60" s="48"/>
      <c r="K60" s="48"/>
      <c r="L60" s="48"/>
      <c r="M60" s="48"/>
      <c r="N60" s="48"/>
      <c r="O60" s="48"/>
      <c r="P60" s="48"/>
      <c r="Q60" s="48"/>
      <c r="R60" s="48"/>
      <c r="S60" s="48"/>
      <c r="T60" s="48"/>
      <c r="U60" s="48"/>
      <c r="V60" s="48"/>
      <c r="W60" s="48"/>
      <c r="X60" s="48"/>
      <c r="Y60" s="48"/>
      <c r="Z60" s="48"/>
    </row>
    <row r="61" ht="15.75" customHeight="1">
      <c r="A61" s="48"/>
      <c r="B61" s="48"/>
      <c r="C61" s="48"/>
      <c r="D61" s="48"/>
      <c r="E61" s="48"/>
      <c r="F61" s="48"/>
      <c r="G61" s="48"/>
      <c r="H61" s="48"/>
      <c r="I61" s="48"/>
      <c r="J61" s="48"/>
      <c r="K61" s="48"/>
      <c r="L61" s="48"/>
      <c r="M61" s="48"/>
      <c r="N61" s="48"/>
      <c r="O61" s="48"/>
      <c r="P61" s="48"/>
      <c r="Q61" s="48"/>
      <c r="R61" s="48"/>
      <c r="S61" s="48"/>
      <c r="T61" s="48"/>
      <c r="U61" s="48"/>
      <c r="V61" s="48"/>
      <c r="W61" s="48"/>
      <c r="X61" s="48"/>
      <c r="Y61" s="48"/>
      <c r="Z61" s="48"/>
    </row>
    <row r="62" ht="15.75" customHeight="1">
      <c r="A62" s="48"/>
      <c r="B62" s="48"/>
      <c r="C62" s="48"/>
      <c r="D62" s="48"/>
      <c r="E62" s="48"/>
      <c r="F62" s="48"/>
      <c r="G62" s="48"/>
      <c r="H62" s="48"/>
      <c r="I62" s="48"/>
      <c r="J62" s="48"/>
      <c r="K62" s="48"/>
      <c r="L62" s="48"/>
      <c r="M62" s="48"/>
      <c r="N62" s="48"/>
      <c r="O62" s="48"/>
      <c r="P62" s="48"/>
      <c r="Q62" s="48"/>
      <c r="R62" s="48"/>
      <c r="S62" s="48"/>
      <c r="T62" s="48"/>
      <c r="U62" s="48"/>
      <c r="V62" s="48"/>
      <c r="W62" s="48"/>
      <c r="X62" s="48"/>
      <c r="Y62" s="48"/>
      <c r="Z62" s="48"/>
    </row>
    <row r="63" ht="15.75" customHeight="1">
      <c r="A63" s="48"/>
      <c r="B63" s="48"/>
      <c r="C63" s="48"/>
      <c r="D63" s="48"/>
      <c r="E63" s="48"/>
      <c r="F63" s="48"/>
      <c r="G63" s="48"/>
      <c r="H63" s="48"/>
      <c r="I63" s="48"/>
      <c r="J63" s="48"/>
      <c r="K63" s="48"/>
      <c r="L63" s="48"/>
      <c r="M63" s="48"/>
      <c r="N63" s="48"/>
      <c r="O63" s="48"/>
      <c r="P63" s="48"/>
      <c r="Q63" s="48"/>
      <c r="R63" s="48"/>
      <c r="S63" s="48"/>
      <c r="T63" s="48"/>
      <c r="U63" s="48"/>
      <c r="V63" s="48"/>
      <c r="W63" s="48"/>
      <c r="X63" s="48"/>
      <c r="Y63" s="48"/>
      <c r="Z63" s="48"/>
    </row>
    <row r="64" ht="15.75" customHeight="1">
      <c r="A64" s="48"/>
      <c r="B64" s="48"/>
      <c r="C64" s="48"/>
      <c r="D64" s="48"/>
      <c r="E64" s="48"/>
      <c r="F64" s="48"/>
      <c r="G64" s="48"/>
      <c r="H64" s="48"/>
      <c r="I64" s="48"/>
      <c r="J64" s="48"/>
      <c r="K64" s="48"/>
      <c r="L64" s="48"/>
      <c r="M64" s="48"/>
      <c r="N64" s="48"/>
      <c r="O64" s="48"/>
      <c r="P64" s="48"/>
      <c r="Q64" s="48"/>
      <c r="R64" s="48"/>
      <c r="S64" s="48"/>
      <c r="T64" s="48"/>
      <c r="U64" s="48"/>
      <c r="V64" s="48"/>
      <c r="W64" s="48"/>
      <c r="X64" s="48"/>
      <c r="Y64" s="48"/>
      <c r="Z64" s="48"/>
    </row>
    <row r="65" ht="15.75" customHeight="1">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row>
    <row r="66" ht="15.75" customHeight="1">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row>
    <row r="67" ht="15.75" customHeight="1">
      <c r="A67" s="48"/>
      <c r="B67" s="48"/>
      <c r="C67" s="48"/>
      <c r="D67" s="48"/>
      <c r="E67" s="48"/>
      <c r="F67" s="48"/>
      <c r="G67" s="48"/>
      <c r="H67" s="48"/>
      <c r="I67" s="48"/>
      <c r="J67" s="48"/>
      <c r="K67" s="48"/>
      <c r="L67" s="48"/>
      <c r="M67" s="48"/>
      <c r="N67" s="48"/>
      <c r="O67" s="48"/>
      <c r="P67" s="48"/>
      <c r="Q67" s="48"/>
      <c r="R67" s="48"/>
      <c r="S67" s="48"/>
      <c r="T67" s="48"/>
      <c r="U67" s="48"/>
      <c r="V67" s="48"/>
      <c r="W67" s="48"/>
      <c r="X67" s="48"/>
      <c r="Y67" s="48"/>
      <c r="Z67" s="48"/>
    </row>
    <row r="68" ht="15.75" customHeight="1">
      <c r="A68" s="48"/>
      <c r="B68" s="48"/>
      <c r="C68" s="48"/>
      <c r="D68" s="48"/>
      <c r="E68" s="48"/>
      <c r="F68" s="48"/>
      <c r="G68" s="48"/>
      <c r="H68" s="48"/>
      <c r="I68" s="48"/>
      <c r="J68" s="48"/>
      <c r="K68" s="48"/>
      <c r="L68" s="48"/>
      <c r="M68" s="48"/>
      <c r="N68" s="48"/>
      <c r="O68" s="48"/>
      <c r="P68" s="48"/>
      <c r="Q68" s="48"/>
      <c r="R68" s="48"/>
      <c r="S68" s="48"/>
      <c r="T68" s="48"/>
      <c r="U68" s="48"/>
      <c r="V68" s="48"/>
      <c r="W68" s="48"/>
      <c r="X68" s="48"/>
      <c r="Y68" s="48"/>
      <c r="Z68" s="48"/>
    </row>
    <row r="69" ht="15.75" customHeight="1">
      <c r="A69" s="48"/>
      <c r="B69" s="48"/>
      <c r="C69" s="48"/>
      <c r="D69" s="48"/>
      <c r="E69" s="48"/>
      <c r="F69" s="48"/>
      <c r="G69" s="48"/>
      <c r="H69" s="48"/>
      <c r="I69" s="48"/>
      <c r="J69" s="48"/>
      <c r="K69" s="48"/>
      <c r="L69" s="48"/>
      <c r="M69" s="48"/>
      <c r="N69" s="48"/>
      <c r="O69" s="48"/>
      <c r="P69" s="48"/>
      <c r="Q69" s="48"/>
      <c r="R69" s="48"/>
      <c r="S69" s="48"/>
      <c r="T69" s="48"/>
      <c r="U69" s="48"/>
      <c r="V69" s="48"/>
      <c r="W69" s="48"/>
      <c r="X69" s="48"/>
      <c r="Y69" s="48"/>
      <c r="Z69" s="48"/>
    </row>
    <row r="70" ht="15.75" customHeight="1">
      <c r="A70" s="48"/>
      <c r="B70" s="48"/>
      <c r="C70" s="48"/>
      <c r="D70" s="48"/>
      <c r="E70" s="48"/>
      <c r="F70" s="48"/>
      <c r="G70" s="48"/>
      <c r="H70" s="48"/>
      <c r="I70" s="48"/>
      <c r="J70" s="48"/>
      <c r="K70" s="48"/>
      <c r="L70" s="48"/>
      <c r="M70" s="48"/>
      <c r="N70" s="48"/>
      <c r="O70" s="48"/>
      <c r="P70" s="48"/>
      <c r="Q70" s="48"/>
      <c r="R70" s="48"/>
      <c r="S70" s="48"/>
      <c r="T70" s="48"/>
      <c r="U70" s="48"/>
      <c r="V70" s="48"/>
      <c r="W70" s="48"/>
      <c r="X70" s="48"/>
      <c r="Y70" s="48"/>
      <c r="Z70" s="48"/>
    </row>
    <row r="71" ht="15.75" customHeight="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row>
    <row r="72" ht="15.75" customHeight="1">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row>
    <row r="73" ht="15.75" customHeight="1">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row>
    <row r="74" ht="15.75" customHeight="1">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row>
    <row r="75" ht="15.75" customHeight="1">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row>
    <row r="76" ht="15.75"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row>
    <row r="77" ht="15.75" customHeight="1">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row>
    <row r="78" ht="15.75" customHeight="1">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row>
    <row r="79" ht="15.75" customHeight="1">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row>
    <row r="80" ht="15.75" customHeight="1">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row>
    <row r="81" ht="15.75" customHeight="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row>
    <row r="82" ht="15.75" customHeight="1">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row>
    <row r="83" ht="15.75" customHeight="1">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row>
    <row r="84" ht="15.75" customHeight="1">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row>
    <row r="85" ht="15.75" customHeight="1">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row>
    <row r="86" ht="15.75" customHeight="1">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row>
    <row r="87" ht="15.75" customHeight="1">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row>
    <row r="88" ht="15.75" customHeight="1">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row>
    <row r="89" ht="15.75" customHeight="1">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row>
    <row r="90" ht="15.75" customHeight="1">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row>
    <row r="91" ht="15.75" customHeight="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row>
    <row r="92" ht="15.75" customHeight="1">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row>
    <row r="93" ht="15.75" customHeight="1">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row>
    <row r="94" ht="15.75" customHeight="1">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row>
    <row r="95" ht="15.75" customHeight="1">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row>
    <row r="96" ht="15.75" customHeight="1">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row>
    <row r="97" ht="15.75" customHeight="1">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row>
    <row r="98" ht="15.75" customHeight="1">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row>
    <row r="99" ht="15.75" customHeight="1">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row>
    <row r="100" ht="15.75" customHeight="1">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row>
    <row r="101" ht="15.75" customHeight="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row>
    <row r="102" ht="15.75" customHeight="1">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row>
    <row r="103" ht="15.75" customHeight="1">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row>
    <row r="104" ht="15.75" customHeight="1">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ht="15.75" customHeight="1">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ht="15.75" customHeight="1">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row>
    <row r="107" ht="15.75" customHeight="1">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row>
    <row r="108" ht="15.75" customHeight="1">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row>
    <row r="109" ht="15.75" customHeight="1">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row>
    <row r="110" ht="15.75" customHeight="1">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row>
    <row r="111" ht="15.75" customHeight="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row>
    <row r="112" ht="15.75" customHeight="1">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row>
    <row r="113" ht="15.75" customHeight="1">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row>
    <row r="114" ht="15.75" customHeight="1">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row>
    <row r="115" ht="15.75" customHeight="1">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row>
    <row r="116" ht="15.75" customHeight="1">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row>
    <row r="117" ht="15.75" customHeight="1">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row>
    <row r="118" ht="15.75" customHeight="1">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row>
    <row r="119" ht="15.75" customHeight="1">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row>
    <row r="120" ht="15.75" customHeight="1">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row>
    <row r="121" ht="15.75" customHeight="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row>
    <row r="122" ht="15.75" customHeight="1">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row>
    <row r="123" ht="15.75" customHeight="1">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row>
    <row r="124" ht="15.75" customHeight="1">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ht="15.75" customHeight="1">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row>
    <row r="126" ht="15.75" customHeight="1">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row>
    <row r="127" ht="15.75" customHeight="1">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row>
    <row r="128" ht="15.75" customHeight="1">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row>
    <row r="129" ht="15.75" customHeight="1">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row>
    <row r="130" ht="15.75" customHeight="1">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row>
    <row r="131" ht="15.75" customHeight="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row>
    <row r="132" ht="15.75" customHeight="1">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row>
    <row r="133" ht="15.75" customHeight="1">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row>
    <row r="134" ht="15.75" customHeight="1">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row>
    <row r="135" ht="15.75" customHeight="1">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ht="15.75" customHeight="1">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row>
    <row r="137" ht="15.75" customHeight="1">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row>
    <row r="138" ht="15.75" customHeight="1">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row>
    <row r="139" ht="15.75" customHeight="1">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row>
    <row r="140" ht="15.75" customHeight="1">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row>
    <row r="141" ht="15.75" customHeight="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row>
    <row r="142" ht="15.75" customHeight="1">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row>
    <row r="143" ht="15.75" customHeight="1">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row>
    <row r="144" ht="15.75" customHeight="1">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row>
    <row r="145" ht="15.75" customHeight="1">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row>
    <row r="146" ht="15.75" customHeight="1">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row>
    <row r="147" ht="15.75" customHeight="1">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row>
    <row r="148" ht="15.75" customHeight="1">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row>
    <row r="149" ht="15.75" customHeight="1">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ht="15.75" customHeight="1">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row>
    <row r="151" ht="15.75" customHeight="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row>
    <row r="152" ht="15.75" customHeight="1">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row>
    <row r="153" ht="15.75" customHeight="1">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ht="15.75" customHeight="1">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5" ht="15.75" customHeight="1">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row>
    <row r="156" ht="15.75" customHeight="1">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ht="15.75" customHeight="1">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row>
    <row r="158" ht="15.75" customHeight="1">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row>
    <row r="159" ht="15.75" customHeight="1">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row>
    <row r="160" ht="15.75" customHeight="1">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row>
    <row r="161" ht="15.75" customHeight="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row>
    <row r="162" ht="15.75" customHeight="1">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row>
    <row r="163" ht="15.75" customHeight="1">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row>
    <row r="164" ht="15.75" customHeight="1">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row>
    <row r="165" ht="15.75" customHeight="1">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row>
    <row r="166" ht="15.75" customHeight="1">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row>
    <row r="167" ht="15.75" customHeight="1">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row>
    <row r="168" ht="15.75" customHeight="1">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row>
    <row r="169" ht="15.75" customHeight="1">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row>
    <row r="170" ht="15.75" customHeight="1">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ht="15.75" customHeight="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ht="15.75" customHeight="1">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row>
    <row r="173" ht="15.75" customHeight="1">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ht="15.75" customHeight="1">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row>
    <row r="175" ht="15.75" customHeight="1">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row>
    <row r="176" ht="15.75" customHeight="1">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row>
    <row r="177" ht="15.75" customHeight="1">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row>
    <row r="178" ht="15.75" customHeight="1">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row>
    <row r="179" ht="15.75" customHeight="1">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ht="15.75" customHeight="1">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ht="15.75" customHeight="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ht="15.75" customHeight="1">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row>
    <row r="183" ht="15.75" customHeight="1">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row>
    <row r="184" ht="15.75" customHeight="1">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row>
    <row r="185" ht="15.75" customHeight="1">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row>
    <row r="186" ht="15.75" customHeight="1">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ht="15.75" customHeight="1">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ht="15.75" customHeight="1">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ht="15.75" customHeight="1">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row>
    <row r="190" ht="15.75" customHeight="1">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row>
    <row r="191" ht="15.75" customHeight="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row>
    <row r="192" ht="15.75" customHeight="1">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row>
    <row r="193" ht="15.75" customHeight="1">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row>
    <row r="194" ht="15.75" customHeight="1">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row>
    <row r="195" ht="15.75" customHeight="1">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row>
    <row r="196" ht="15.75" customHeight="1">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row>
    <row r="197" ht="15.75" customHeight="1">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row>
    <row r="198" ht="15.75" customHeight="1">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row>
    <row r="199" ht="15.75" customHeight="1">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row>
    <row r="200" ht="15.75" customHeight="1">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row>
    <row r="201" ht="15.75" customHeight="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row>
    <row r="202" ht="15.75" customHeight="1">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row>
    <row r="203" ht="15.75" customHeight="1">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row>
    <row r="204" ht="15.75" customHeight="1">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row>
    <row r="205" ht="15.75" customHeight="1">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row>
    <row r="206" ht="15.75" customHeight="1">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row>
    <row r="207" ht="15.75" customHeight="1">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row>
    <row r="208" ht="15.75" customHeight="1">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row>
    <row r="209" ht="15.75" customHeight="1">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row>
    <row r="210" ht="15.75" customHeight="1">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row>
    <row r="211" ht="15.75" customHeight="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ht="15.75" customHeight="1">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row>
    <row r="213" ht="15.75" customHeight="1">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row>
    <row r="214" ht="15.75" customHeight="1">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row>
    <row r="215" ht="15.75" customHeight="1">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row>
    <row r="216" ht="15.75" customHeight="1">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row>
    <row r="217" ht="15.75" customHeight="1">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row>
    <row r="218" ht="15.75" customHeight="1">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row>
    <row r="219" ht="15.75" customHeight="1">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row>
    <row r="220" ht="15.75" customHeight="1">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row>
    <row r="221" ht="15.75" customHeight="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row>
    <row r="222" ht="15.75" customHeight="1">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row>
    <row r="223" ht="15.75" customHeight="1">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row>
    <row r="224" ht="15.75" customHeight="1">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row>
    <row r="225" ht="15.75" customHeight="1">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row>
    <row r="226" ht="15.75" customHeight="1">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row>
    <row r="227" ht="15.75" customHeight="1">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row>
    <row r="228" ht="15.75" customHeight="1">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row>
    <row r="229" ht="15.75" customHeight="1">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row>
    <row r="230" ht="15.75" customHeight="1">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row>
    <row r="231" ht="15.75" customHeight="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row>
    <row r="232" ht="15.75" customHeight="1">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row>
    <row r="233" ht="15.75" customHeight="1">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row>
    <row r="234" ht="15.75" customHeight="1">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row>
    <row r="235" ht="15.75" customHeight="1">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row>
    <row r="236" ht="15.75" customHeight="1">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row>
    <row r="237" ht="15.75" customHeight="1">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row>
    <row r="238" ht="15.75" customHeight="1">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row>
    <row r="239" ht="15.75" customHeight="1">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row>
    <row r="240" ht="15.75" customHeight="1">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row>
    <row r="241" ht="15.75" customHeight="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row>
    <row r="242" ht="15.75" customHeight="1">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row>
    <row r="243" ht="15.75" customHeight="1">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row>
    <row r="244" ht="15.75" customHeight="1">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7.43"/>
    <col customWidth="1" min="2" max="2" width="39.71"/>
    <col customWidth="1" min="3" max="3" width="22.14"/>
    <col customWidth="1" min="4" max="4" width="17.57"/>
    <col customWidth="1" min="6" max="6" width="12.57"/>
    <col customWidth="1" min="7" max="7" width="15.0"/>
    <col customWidth="1" min="8" max="26" width="8.71"/>
  </cols>
  <sheetData>
    <row r="1">
      <c r="A1" s="16" t="s">
        <v>179</v>
      </c>
      <c r="B1" s="78" t="s">
        <v>3</v>
      </c>
      <c r="C1" s="79" t="s">
        <v>4</v>
      </c>
      <c r="D1" s="80" t="s">
        <v>5</v>
      </c>
      <c r="E1" s="79" t="s">
        <v>180</v>
      </c>
      <c r="F1" s="78" t="s">
        <v>181</v>
      </c>
    </row>
    <row r="2">
      <c r="A2" s="81" t="s">
        <v>73</v>
      </c>
      <c r="B2" s="82" t="s">
        <v>16</v>
      </c>
      <c r="C2" s="83" t="s">
        <v>17</v>
      </c>
      <c r="D2" s="84">
        <v>300.0</v>
      </c>
      <c r="E2" s="84">
        <v>300.0</v>
      </c>
      <c r="F2" s="84">
        <v>354.0</v>
      </c>
      <c r="G2" s="84"/>
      <c r="H2" s="81" t="s">
        <v>27</v>
      </c>
    </row>
    <row r="3">
      <c r="A3" s="85" t="s">
        <v>83</v>
      </c>
      <c r="B3" s="86" t="s">
        <v>16</v>
      </c>
      <c r="C3" s="87" t="s">
        <v>17</v>
      </c>
      <c r="D3" s="88">
        <v>1000.0</v>
      </c>
      <c r="E3" s="88">
        <v>1000.0</v>
      </c>
      <c r="F3" s="88">
        <v>1180.0</v>
      </c>
    </row>
    <row r="4">
      <c r="A4" s="89" t="s">
        <v>84</v>
      </c>
      <c r="B4" s="90" t="s">
        <v>16</v>
      </c>
      <c r="C4" s="91" t="s">
        <v>17</v>
      </c>
      <c r="D4" s="91">
        <v>2000.0</v>
      </c>
      <c r="E4" s="91">
        <v>2000.0</v>
      </c>
      <c r="F4" s="91">
        <v>2360.0</v>
      </c>
    </row>
    <row r="5">
      <c r="A5" s="81" t="s">
        <v>182</v>
      </c>
      <c r="B5" s="82" t="s">
        <v>98</v>
      </c>
      <c r="C5" s="83">
        <v>100.0</v>
      </c>
      <c r="D5" s="84">
        <v>1000.0</v>
      </c>
      <c r="E5" s="84">
        <v>1000.0</v>
      </c>
      <c r="F5" s="84">
        <v>1280.0</v>
      </c>
    </row>
    <row r="6">
      <c r="A6" s="85" t="s">
        <v>183</v>
      </c>
      <c r="B6" s="86" t="s">
        <v>98</v>
      </c>
      <c r="C6" s="88" t="s">
        <v>102</v>
      </c>
      <c r="D6" s="87">
        <v>2000.0</v>
      </c>
      <c r="E6" s="88">
        <v>2000.0</v>
      </c>
      <c r="F6" s="88">
        <v>2360.0</v>
      </c>
    </row>
    <row r="7">
      <c r="A7" s="81" t="s">
        <v>184</v>
      </c>
      <c r="B7" s="82" t="s">
        <v>98</v>
      </c>
      <c r="C7" s="84">
        <v>7500.0</v>
      </c>
      <c r="D7" s="84">
        <v>2000.0</v>
      </c>
      <c r="E7" s="84">
        <v>9500.0</v>
      </c>
      <c r="F7" s="84">
        <v>9860.0</v>
      </c>
    </row>
    <row r="8">
      <c r="A8" s="85" t="s">
        <v>105</v>
      </c>
      <c r="B8" s="86" t="s">
        <v>98</v>
      </c>
      <c r="C8" s="87" t="s">
        <v>106</v>
      </c>
      <c r="D8" s="88">
        <v>1000.0</v>
      </c>
      <c r="E8" s="88">
        <v>1000.0</v>
      </c>
      <c r="F8" s="88">
        <v>1180.0</v>
      </c>
    </row>
    <row r="9">
      <c r="A9" s="92" t="s">
        <v>108</v>
      </c>
      <c r="B9" s="82" t="s">
        <v>16</v>
      </c>
      <c r="C9" s="83">
        <v>500.0</v>
      </c>
      <c r="D9" s="84">
        <v>1000.0</v>
      </c>
      <c r="E9" s="84">
        <v>1500.0</v>
      </c>
      <c r="F9" s="84">
        <v>1680.0</v>
      </c>
    </row>
    <row r="10">
      <c r="A10" s="89" t="s">
        <v>185</v>
      </c>
      <c r="B10" s="90" t="s">
        <v>16</v>
      </c>
      <c r="C10" s="91" t="s">
        <v>17</v>
      </c>
      <c r="D10" s="91">
        <v>2000.0</v>
      </c>
      <c r="E10" s="91">
        <v>2000.0</v>
      </c>
      <c r="F10" s="91">
        <v>2360.0</v>
      </c>
    </row>
    <row r="11">
      <c r="A11" s="89" t="s">
        <v>186</v>
      </c>
      <c r="B11" s="90" t="s">
        <v>59</v>
      </c>
      <c r="C11" s="91" t="s">
        <v>17</v>
      </c>
      <c r="D11" s="91">
        <v>500.0</v>
      </c>
      <c r="E11" s="91">
        <v>500.0</v>
      </c>
      <c r="F11" s="91">
        <v>590.0</v>
      </c>
    </row>
    <row r="12">
      <c r="A12" s="89" t="s">
        <v>113</v>
      </c>
      <c r="B12" s="90" t="s">
        <v>16</v>
      </c>
      <c r="C12" s="91"/>
      <c r="D12" s="91">
        <v>2000.0</v>
      </c>
      <c r="E12" s="91"/>
      <c r="F12" s="90"/>
    </row>
    <row r="13">
      <c r="A13" s="81" t="s">
        <v>121</v>
      </c>
      <c r="B13" s="81" t="s">
        <v>16</v>
      </c>
      <c r="C13" s="84">
        <v>5900.0</v>
      </c>
      <c r="D13" s="84">
        <v>2000.0</v>
      </c>
      <c r="E13" s="84">
        <v>7900.0</v>
      </c>
      <c r="F13" s="81">
        <v>8260.0</v>
      </c>
    </row>
    <row r="14">
      <c r="A14" s="89" t="s">
        <v>84</v>
      </c>
      <c r="B14" s="90" t="s">
        <v>16</v>
      </c>
      <c r="C14" s="91" t="s">
        <v>17</v>
      </c>
      <c r="D14" s="91">
        <v>2000.0</v>
      </c>
      <c r="E14" s="91">
        <v>2000.0</v>
      </c>
      <c r="F14" s="91">
        <v>2360.0</v>
      </c>
    </row>
    <row r="16">
      <c r="A16" s="93" t="s">
        <v>187</v>
      </c>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4" t="s">
        <v>188</v>
      </c>
      <c r="B17" s="95"/>
      <c r="C17" s="95"/>
      <c r="D17" s="95"/>
      <c r="E17" s="95"/>
      <c r="F17" s="95"/>
      <c r="G17" s="95"/>
      <c r="H17" s="95"/>
      <c r="I17" s="95"/>
      <c r="J17" s="95"/>
      <c r="K17" s="95"/>
      <c r="L17" s="95"/>
      <c r="M17" s="95"/>
      <c r="N17" s="95"/>
      <c r="O17" s="95"/>
      <c r="P17" s="95"/>
      <c r="Q17" s="95"/>
      <c r="R17" s="95"/>
      <c r="S17" s="95"/>
      <c r="T17" s="95"/>
      <c r="U17" s="95"/>
      <c r="V17" s="95"/>
      <c r="W17" s="95"/>
      <c r="X17" s="95"/>
      <c r="Y17" s="95"/>
      <c r="Z17" s="95"/>
    </row>
    <row r="18">
      <c r="A18" s="16" t="s">
        <v>189</v>
      </c>
      <c r="B18" s="16" t="s">
        <v>16</v>
      </c>
      <c r="C18" s="16" t="s">
        <v>190</v>
      </c>
      <c r="D18" s="96">
        <v>2500.0</v>
      </c>
    </row>
    <row r="19">
      <c r="A19" s="96" t="s">
        <v>191</v>
      </c>
    </row>
    <row r="20">
      <c r="A20" s="97" t="s">
        <v>192</v>
      </c>
    </row>
    <row r="21">
      <c r="A21" s="97" t="s">
        <v>193</v>
      </c>
    </row>
    <row r="22" ht="15.75" customHeight="1"/>
    <row r="23" ht="15.75" customHeight="1">
      <c r="A23" s="95" t="s">
        <v>194</v>
      </c>
      <c r="B23" s="98"/>
      <c r="C23" s="98"/>
      <c r="D23" s="98"/>
      <c r="E23" s="95"/>
      <c r="F23" s="95"/>
      <c r="G23" s="95"/>
      <c r="H23" s="95"/>
      <c r="I23" s="95"/>
      <c r="J23" s="95"/>
      <c r="K23" s="95"/>
      <c r="L23" s="95"/>
      <c r="M23" s="95"/>
      <c r="N23" s="95"/>
      <c r="O23" s="95"/>
      <c r="P23" s="95"/>
      <c r="Q23" s="95"/>
      <c r="R23" s="95"/>
      <c r="S23" s="95"/>
      <c r="T23" s="95"/>
      <c r="U23" s="95"/>
      <c r="V23" s="95"/>
      <c r="W23" s="95"/>
      <c r="X23" s="95"/>
      <c r="Y23" s="95"/>
      <c r="Z23" s="95"/>
    </row>
    <row r="24" ht="15.75" customHeight="1">
      <c r="A24" s="45" t="s">
        <v>195</v>
      </c>
      <c r="B24" s="45" t="s">
        <v>196</v>
      </c>
      <c r="C24" s="45" t="s">
        <v>190</v>
      </c>
      <c r="D24" s="45">
        <v>2500.0</v>
      </c>
    </row>
    <row r="25" ht="15.75" customHeight="1">
      <c r="A25" s="45" t="s">
        <v>197</v>
      </c>
      <c r="B25" s="45"/>
      <c r="C25" s="45"/>
      <c r="D25" s="45">
        <v>30000.0</v>
      </c>
    </row>
    <row r="26" ht="15.75" customHeight="1">
      <c r="A26" s="45" t="s">
        <v>198</v>
      </c>
      <c r="B26" s="45" t="s">
        <v>196</v>
      </c>
      <c r="C26" s="45" t="s">
        <v>190</v>
      </c>
      <c r="D26" s="45">
        <v>2500.0</v>
      </c>
    </row>
    <row r="27" ht="15.75" customHeight="1">
      <c r="A27" s="45" t="s">
        <v>199</v>
      </c>
      <c r="B27" s="45" t="s">
        <v>200</v>
      </c>
      <c r="C27" s="45" t="s">
        <v>190</v>
      </c>
      <c r="D27" s="45">
        <v>1000.0</v>
      </c>
    </row>
    <row r="28" ht="15.75" customHeight="1">
      <c r="A28" s="45" t="s">
        <v>201</v>
      </c>
      <c r="B28" s="45"/>
      <c r="C28" s="45" t="s">
        <v>190</v>
      </c>
      <c r="D28" s="45">
        <v>1000.0</v>
      </c>
    </row>
    <row r="29" ht="15.75" customHeight="1">
      <c r="A29" s="45" t="s">
        <v>202</v>
      </c>
      <c r="B29" s="45"/>
      <c r="C29" s="45" t="s">
        <v>190</v>
      </c>
      <c r="D29" s="45">
        <v>1500.0</v>
      </c>
    </row>
    <row r="30">
      <c r="A30" s="99" t="s">
        <v>203</v>
      </c>
      <c r="B30" s="45"/>
      <c r="C30" s="45"/>
      <c r="D30" s="45">
        <v>8500.0</v>
      </c>
      <c r="E30" s="45"/>
      <c r="F30" s="45"/>
      <c r="G30" s="45"/>
      <c r="H30" s="45"/>
      <c r="J30" s="82">
        <v>1000.0</v>
      </c>
      <c r="K30" s="84" t="s">
        <v>204</v>
      </c>
      <c r="L30" s="100"/>
      <c r="M30" s="100"/>
      <c r="N30" s="100"/>
    </row>
    <row r="31">
      <c r="A31" s="101" t="s">
        <v>205</v>
      </c>
      <c r="B31" s="45"/>
      <c r="C31" s="45"/>
      <c r="D31" s="45"/>
      <c r="E31" s="45"/>
      <c r="F31" s="45"/>
      <c r="G31" s="45"/>
      <c r="H31" s="45"/>
      <c r="J31" s="86">
        <v>600.0</v>
      </c>
      <c r="K31" s="88"/>
      <c r="L31" s="102"/>
      <c r="M31" s="102"/>
      <c r="N31" s="102"/>
    </row>
    <row r="32" ht="15.75" customHeight="1">
      <c r="A32" s="45" t="s">
        <v>206</v>
      </c>
      <c r="B32" s="45"/>
      <c r="C32" s="45">
        <v>10000.0</v>
      </c>
      <c r="D32" s="45">
        <v>5000.0</v>
      </c>
    </row>
    <row r="33" ht="15.75" customHeight="1">
      <c r="A33" s="45" t="s">
        <v>207</v>
      </c>
      <c r="B33" s="45"/>
      <c r="C33" s="45">
        <v>5000.0</v>
      </c>
      <c r="D33" s="45">
        <v>2500.0</v>
      </c>
    </row>
    <row r="36" ht="15.75" customHeight="1">
      <c r="C36" s="96">
        <v>4000.0</v>
      </c>
    </row>
    <row r="37" ht="15.75" customHeight="1">
      <c r="C37" s="96">
        <v>7000.0</v>
      </c>
    </row>
    <row r="38" ht="15.75" customHeight="1">
      <c r="C38" s="96">
        <v>11000.0</v>
      </c>
    </row>
    <row r="39" ht="15.75" customHeight="1">
      <c r="C39" s="96">
        <v>10000.0</v>
      </c>
      <c r="D39" s="96" t="s">
        <v>208</v>
      </c>
      <c r="E39" s="96">
        <v>1500.0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2" width="28.86"/>
    <col customWidth="1" min="3" max="3" width="33.43"/>
    <col customWidth="1" min="4" max="4" width="39.29"/>
    <col customWidth="1" min="5" max="5" width="36.0"/>
    <col customWidth="1" min="6" max="6" width="52.43"/>
    <col customWidth="1" min="7" max="26" width="8.71"/>
  </cols>
  <sheetData>
    <row r="1" ht="51.0" customHeight="1">
      <c r="A1" s="103" t="s">
        <v>209</v>
      </c>
      <c r="B1" s="104" t="s">
        <v>210</v>
      </c>
      <c r="C1" s="103" t="s">
        <v>211</v>
      </c>
      <c r="D1" s="103" t="s">
        <v>212</v>
      </c>
      <c r="E1" s="103" t="s">
        <v>213</v>
      </c>
      <c r="F1" s="103" t="s">
        <v>214</v>
      </c>
    </row>
    <row r="2" ht="18.75" customHeight="1">
      <c r="A2" s="105" t="s">
        <v>215</v>
      </c>
      <c r="B2" s="45">
        <v>5500.0</v>
      </c>
      <c r="C2" s="105" t="s">
        <v>216</v>
      </c>
      <c r="D2" s="105" t="s">
        <v>216</v>
      </c>
      <c r="E2" s="105" t="s">
        <v>216</v>
      </c>
      <c r="F2" s="105" t="s">
        <v>216</v>
      </c>
    </row>
    <row r="3" ht="18.75" customHeight="1">
      <c r="A3" s="105" t="s">
        <v>135</v>
      </c>
      <c r="B3" s="45">
        <v>5500.0</v>
      </c>
      <c r="C3" s="105" t="s">
        <v>217</v>
      </c>
      <c r="D3" s="105" t="s">
        <v>217</v>
      </c>
      <c r="E3" s="105" t="s">
        <v>217</v>
      </c>
      <c r="F3" s="105" t="s">
        <v>217</v>
      </c>
    </row>
    <row r="4" ht="18.75" customHeight="1">
      <c r="A4" s="105" t="s">
        <v>136</v>
      </c>
      <c r="B4" s="45">
        <v>5500.0</v>
      </c>
      <c r="C4" s="105" t="s">
        <v>217</v>
      </c>
      <c r="D4" s="105" t="s">
        <v>217</v>
      </c>
      <c r="E4" s="105" t="s">
        <v>217</v>
      </c>
      <c r="F4" s="105" t="s">
        <v>217</v>
      </c>
    </row>
    <row r="5" ht="18.75" customHeight="1">
      <c r="A5" s="106" t="s">
        <v>137</v>
      </c>
      <c r="B5" s="107">
        <v>5500.0</v>
      </c>
      <c r="C5" s="106" t="s">
        <v>218</v>
      </c>
      <c r="D5" s="106" t="s">
        <v>219</v>
      </c>
      <c r="E5" s="106" t="s">
        <v>219</v>
      </c>
      <c r="F5" s="106" t="s">
        <v>219</v>
      </c>
      <c r="G5" s="108"/>
      <c r="H5" s="108"/>
      <c r="I5" s="108"/>
      <c r="J5" s="108"/>
      <c r="K5" s="108"/>
      <c r="L5" s="108"/>
      <c r="M5" s="108"/>
      <c r="N5" s="108"/>
      <c r="O5" s="108"/>
      <c r="P5" s="108"/>
      <c r="Q5" s="108"/>
      <c r="R5" s="108"/>
      <c r="S5" s="108"/>
      <c r="T5" s="108"/>
      <c r="U5" s="108"/>
      <c r="V5" s="108"/>
      <c r="W5" s="108"/>
      <c r="X5" s="108"/>
      <c r="Y5" s="108"/>
      <c r="Z5" s="108"/>
    </row>
    <row r="6" ht="18.75" customHeight="1">
      <c r="A6" s="106" t="s">
        <v>139</v>
      </c>
      <c r="B6" s="107">
        <v>5000.0</v>
      </c>
      <c r="C6" s="106" t="s">
        <v>220</v>
      </c>
      <c r="D6" s="106" t="s">
        <v>221</v>
      </c>
      <c r="E6" s="106" t="s">
        <v>219</v>
      </c>
      <c r="F6" s="106" t="s">
        <v>219</v>
      </c>
      <c r="G6" s="108"/>
      <c r="H6" s="108"/>
      <c r="I6" s="108"/>
      <c r="J6" s="108"/>
      <c r="K6" s="108"/>
      <c r="L6" s="108"/>
      <c r="M6" s="108"/>
      <c r="N6" s="108"/>
      <c r="O6" s="108"/>
      <c r="P6" s="108"/>
      <c r="Q6" s="108"/>
      <c r="R6" s="108"/>
      <c r="S6" s="108"/>
      <c r="T6" s="108"/>
      <c r="U6" s="108"/>
      <c r="V6" s="108"/>
      <c r="W6" s="108"/>
      <c r="X6" s="108"/>
      <c r="Y6" s="108"/>
      <c r="Z6" s="108"/>
    </row>
    <row r="7" ht="18.75" customHeight="1">
      <c r="A7" s="109" t="s">
        <v>142</v>
      </c>
      <c r="B7" s="45">
        <v>5500.0</v>
      </c>
      <c r="C7" s="109" t="s">
        <v>222</v>
      </c>
      <c r="D7" s="109" t="s">
        <v>222</v>
      </c>
      <c r="E7" s="110" t="s">
        <v>222</v>
      </c>
      <c r="F7" s="110" t="s">
        <v>222</v>
      </c>
    </row>
    <row r="8" ht="18.75" customHeight="1">
      <c r="A8" s="111"/>
      <c r="B8" s="45">
        <v>5500.0</v>
      </c>
      <c r="C8" s="111"/>
      <c r="D8" s="111"/>
      <c r="E8" s="112" t="s">
        <v>223</v>
      </c>
      <c r="F8" s="112" t="s">
        <v>224</v>
      </c>
    </row>
    <row r="9" ht="18.75" customHeight="1">
      <c r="A9" s="105" t="s">
        <v>143</v>
      </c>
      <c r="B9" s="45">
        <v>5500.0</v>
      </c>
      <c r="C9" s="105" t="s">
        <v>225</v>
      </c>
      <c r="D9" s="105" t="s">
        <v>225</v>
      </c>
      <c r="E9" s="105" t="s">
        <v>225</v>
      </c>
      <c r="F9" s="105" t="s">
        <v>225</v>
      </c>
    </row>
    <row r="10" ht="18.75" customHeight="1">
      <c r="A10" s="105" t="s">
        <v>144</v>
      </c>
      <c r="B10" s="45">
        <v>5500.0</v>
      </c>
      <c r="C10" s="105" t="s">
        <v>226</v>
      </c>
      <c r="D10" s="105" t="s">
        <v>227</v>
      </c>
      <c r="E10" s="105" t="s">
        <v>228</v>
      </c>
      <c r="F10" s="105" t="s">
        <v>229</v>
      </c>
    </row>
    <row r="11" ht="18.75" customHeight="1">
      <c r="A11" s="105" t="s">
        <v>145</v>
      </c>
      <c r="B11" s="45">
        <v>5500.0</v>
      </c>
      <c r="C11" s="105" t="s">
        <v>226</v>
      </c>
      <c r="D11" s="105" t="s">
        <v>226</v>
      </c>
      <c r="E11" s="105" t="s">
        <v>226</v>
      </c>
      <c r="F11" s="105" t="s">
        <v>226</v>
      </c>
    </row>
    <row r="12" ht="18.75" customHeight="1">
      <c r="A12" s="105" t="s">
        <v>230</v>
      </c>
      <c r="B12" s="45">
        <v>5500.0</v>
      </c>
      <c r="C12" s="105" t="s">
        <v>217</v>
      </c>
      <c r="D12" s="105" t="s">
        <v>217</v>
      </c>
      <c r="E12" s="105" t="s">
        <v>217</v>
      </c>
      <c r="F12" s="105" t="s">
        <v>217</v>
      </c>
    </row>
    <row r="13" ht="18.75" customHeight="1">
      <c r="A13" s="105" t="s">
        <v>231</v>
      </c>
      <c r="B13" s="45">
        <v>5500.0</v>
      </c>
      <c r="C13" s="105" t="s">
        <v>217</v>
      </c>
      <c r="D13" s="105" t="s">
        <v>217</v>
      </c>
      <c r="E13" s="105" t="s">
        <v>217</v>
      </c>
      <c r="F13" s="105" t="s">
        <v>217</v>
      </c>
    </row>
    <row r="14" ht="18.75" customHeight="1">
      <c r="A14" s="106" t="s">
        <v>148</v>
      </c>
      <c r="B14" s="107">
        <v>7000.0</v>
      </c>
      <c r="C14" s="106" t="s">
        <v>218</v>
      </c>
      <c r="D14" s="106" t="s">
        <v>219</v>
      </c>
      <c r="E14" s="106" t="s">
        <v>219</v>
      </c>
      <c r="F14" s="106" t="s">
        <v>219</v>
      </c>
      <c r="G14" s="108"/>
      <c r="H14" s="108"/>
      <c r="I14" s="108"/>
      <c r="J14" s="108"/>
      <c r="K14" s="108"/>
      <c r="L14" s="108"/>
      <c r="M14" s="108"/>
      <c r="N14" s="108"/>
      <c r="O14" s="108"/>
      <c r="P14" s="108"/>
      <c r="Q14" s="108"/>
      <c r="R14" s="108"/>
      <c r="S14" s="108"/>
      <c r="T14" s="108"/>
      <c r="U14" s="108"/>
      <c r="V14" s="108"/>
      <c r="W14" s="108"/>
      <c r="X14" s="108"/>
      <c r="Y14" s="108"/>
      <c r="Z14" s="108"/>
    </row>
    <row r="15" ht="18.75" customHeight="1">
      <c r="A15" s="105" t="s">
        <v>149</v>
      </c>
      <c r="B15" s="45">
        <v>5500.0</v>
      </c>
      <c r="C15" s="105" t="s">
        <v>226</v>
      </c>
      <c r="D15" s="105" t="s">
        <v>226</v>
      </c>
      <c r="E15" s="105" t="s">
        <v>226</v>
      </c>
      <c r="F15" s="105" t="s">
        <v>232</v>
      </c>
    </row>
    <row r="16" ht="18.75" customHeight="1">
      <c r="A16" s="106" t="s">
        <v>150</v>
      </c>
      <c r="B16" s="107">
        <v>9500.0</v>
      </c>
      <c r="C16" s="106" t="s">
        <v>219</v>
      </c>
      <c r="D16" s="106" t="s">
        <v>219</v>
      </c>
      <c r="E16" s="106" t="s">
        <v>219</v>
      </c>
      <c r="F16" s="106" t="s">
        <v>219</v>
      </c>
      <c r="G16" s="108"/>
      <c r="H16" s="108"/>
      <c r="I16" s="108"/>
      <c r="J16" s="108"/>
      <c r="K16" s="108"/>
      <c r="L16" s="108"/>
      <c r="M16" s="108"/>
      <c r="N16" s="108"/>
      <c r="O16" s="108"/>
      <c r="P16" s="108"/>
      <c r="Q16" s="108"/>
      <c r="R16" s="108"/>
      <c r="S16" s="108"/>
      <c r="T16" s="108"/>
      <c r="U16" s="108"/>
      <c r="V16" s="108"/>
      <c r="W16" s="108"/>
      <c r="X16" s="108"/>
      <c r="Y16" s="108"/>
      <c r="Z16" s="108"/>
    </row>
    <row r="17" ht="18.75" customHeight="1">
      <c r="A17" s="106" t="s">
        <v>233</v>
      </c>
      <c r="B17" s="107">
        <v>6500.0</v>
      </c>
      <c r="C17" s="106" t="s">
        <v>220</v>
      </c>
      <c r="D17" s="106" t="s">
        <v>227</v>
      </c>
      <c r="E17" s="106" t="s">
        <v>234</v>
      </c>
      <c r="F17" s="106" t="s">
        <v>234</v>
      </c>
      <c r="G17" s="108"/>
      <c r="H17" s="108"/>
      <c r="I17" s="108"/>
      <c r="J17" s="108"/>
      <c r="K17" s="108"/>
      <c r="L17" s="108"/>
      <c r="M17" s="108"/>
      <c r="N17" s="108"/>
      <c r="O17" s="108"/>
      <c r="P17" s="108"/>
      <c r="Q17" s="108"/>
      <c r="R17" s="108"/>
      <c r="S17" s="108"/>
      <c r="T17" s="108"/>
      <c r="U17" s="108"/>
      <c r="V17" s="108"/>
      <c r="W17" s="108"/>
      <c r="X17" s="108"/>
      <c r="Y17" s="108"/>
      <c r="Z17" s="108"/>
    </row>
    <row r="18" ht="18.75" customHeight="1">
      <c r="A18" s="109" t="s">
        <v>153</v>
      </c>
      <c r="B18" s="45">
        <v>5500.0</v>
      </c>
      <c r="C18" s="110" t="s">
        <v>222</v>
      </c>
      <c r="D18" s="109" t="s">
        <v>222</v>
      </c>
      <c r="E18" s="109" t="s">
        <v>222</v>
      </c>
      <c r="F18" s="110" t="s">
        <v>222</v>
      </c>
    </row>
    <row r="19" ht="18.75" customHeight="1">
      <c r="A19" s="111"/>
      <c r="B19" s="45">
        <v>5500.0</v>
      </c>
      <c r="C19" s="112" t="s">
        <v>235</v>
      </c>
      <c r="D19" s="111"/>
      <c r="E19" s="111"/>
      <c r="F19" s="112" t="s">
        <v>236</v>
      </c>
    </row>
    <row r="20" ht="18.75" customHeight="1">
      <c r="A20" s="105" t="s">
        <v>154</v>
      </c>
      <c r="B20" s="45">
        <v>5500.0</v>
      </c>
      <c r="C20" s="105" t="s">
        <v>217</v>
      </c>
      <c r="D20" s="105" t="s">
        <v>217</v>
      </c>
      <c r="E20" s="105" t="s">
        <v>217</v>
      </c>
      <c r="F20" s="105" t="s">
        <v>217</v>
      </c>
    </row>
    <row r="21" ht="18.75" customHeight="1">
      <c r="A21" s="105" t="s">
        <v>155</v>
      </c>
      <c r="B21" s="45">
        <v>5500.0</v>
      </c>
      <c r="C21" s="105" t="s">
        <v>217</v>
      </c>
      <c r="D21" s="105" t="s">
        <v>217</v>
      </c>
      <c r="E21" s="105" t="s">
        <v>217</v>
      </c>
      <c r="F21" s="105" t="s">
        <v>217</v>
      </c>
    </row>
    <row r="22" ht="18.75" customHeight="1">
      <c r="A22" s="105" t="s">
        <v>156</v>
      </c>
      <c r="B22" s="45">
        <v>5500.0</v>
      </c>
      <c r="C22" s="105" t="s">
        <v>217</v>
      </c>
      <c r="D22" s="105" t="s">
        <v>217</v>
      </c>
      <c r="E22" s="105" t="s">
        <v>217</v>
      </c>
      <c r="F22" s="105" t="s">
        <v>217</v>
      </c>
    </row>
    <row r="23" ht="18.75" customHeight="1">
      <c r="A23" s="105" t="s">
        <v>157</v>
      </c>
      <c r="B23" s="45">
        <v>5500.0</v>
      </c>
      <c r="C23" s="105" t="s">
        <v>217</v>
      </c>
      <c r="D23" s="105" t="s">
        <v>217</v>
      </c>
      <c r="E23" s="105" t="s">
        <v>217</v>
      </c>
      <c r="F23" s="105" t="s">
        <v>217</v>
      </c>
    </row>
    <row r="24" ht="18.75" customHeight="1">
      <c r="A24" s="105" t="s">
        <v>237</v>
      </c>
      <c r="B24" s="45">
        <v>5500.0</v>
      </c>
      <c r="C24" s="105" t="s">
        <v>238</v>
      </c>
      <c r="D24" s="105" t="s">
        <v>238</v>
      </c>
      <c r="E24" s="105" t="s">
        <v>238</v>
      </c>
      <c r="F24" s="105" t="s">
        <v>238</v>
      </c>
    </row>
    <row r="25" ht="18.75" customHeight="1">
      <c r="A25" s="105" t="s">
        <v>160</v>
      </c>
      <c r="B25" s="45">
        <v>5500.0</v>
      </c>
      <c r="C25" s="105" t="s">
        <v>226</v>
      </c>
      <c r="D25" s="105" t="s">
        <v>226</v>
      </c>
      <c r="E25" s="105" t="s">
        <v>226</v>
      </c>
      <c r="F25" s="105" t="s">
        <v>226</v>
      </c>
    </row>
    <row r="26" ht="48.75" customHeight="1">
      <c r="A26" s="113" t="s">
        <v>161</v>
      </c>
      <c r="B26" s="107" t="s">
        <v>239</v>
      </c>
      <c r="C26" s="113" t="s">
        <v>240</v>
      </c>
      <c r="D26" s="113" t="s">
        <v>241</v>
      </c>
      <c r="E26" s="113" t="s">
        <v>229</v>
      </c>
      <c r="F26" s="113" t="s">
        <v>229</v>
      </c>
      <c r="G26" s="108"/>
      <c r="H26" s="108"/>
      <c r="I26" s="108"/>
      <c r="J26" s="108"/>
      <c r="K26" s="108"/>
      <c r="L26" s="108"/>
      <c r="M26" s="108"/>
      <c r="N26" s="108"/>
      <c r="O26" s="108"/>
      <c r="P26" s="108"/>
      <c r="Q26" s="108"/>
      <c r="R26" s="108"/>
      <c r="S26" s="108"/>
      <c r="T26" s="108"/>
      <c r="U26" s="108"/>
      <c r="V26" s="108"/>
      <c r="W26" s="108"/>
      <c r="X26" s="108"/>
      <c r="Y26" s="108"/>
      <c r="Z26" s="108"/>
    </row>
    <row r="27" ht="18.75" customHeight="1">
      <c r="A27" s="105" t="s">
        <v>162</v>
      </c>
      <c r="B27" s="45">
        <v>5500.0</v>
      </c>
      <c r="C27" s="105" t="s">
        <v>217</v>
      </c>
      <c r="D27" s="105" t="s">
        <v>217</v>
      </c>
      <c r="E27" s="105" t="s">
        <v>217</v>
      </c>
      <c r="F27" s="105" t="s">
        <v>217</v>
      </c>
    </row>
    <row r="28" ht="18.75" customHeight="1">
      <c r="A28" s="105" t="s">
        <v>242</v>
      </c>
      <c r="B28" s="45">
        <v>5500.0</v>
      </c>
      <c r="C28" s="105" t="s">
        <v>243</v>
      </c>
      <c r="D28" s="105" t="s">
        <v>243</v>
      </c>
      <c r="E28" s="105" t="s">
        <v>243</v>
      </c>
      <c r="F28" s="105" t="s">
        <v>243</v>
      </c>
    </row>
    <row r="29" ht="18.75" customHeight="1">
      <c r="A29" s="114" t="s">
        <v>164</v>
      </c>
      <c r="B29" s="45">
        <v>5500.0</v>
      </c>
      <c r="C29" s="114" t="s">
        <v>244</v>
      </c>
      <c r="D29" s="114" t="s">
        <v>245</v>
      </c>
      <c r="E29" s="114" t="s">
        <v>246</v>
      </c>
      <c r="F29" s="105"/>
    </row>
    <row r="30" ht="18.75" customHeight="1">
      <c r="A30" s="105" t="s">
        <v>165</v>
      </c>
      <c r="B30" s="45">
        <v>5500.0</v>
      </c>
      <c r="C30" s="105" t="s">
        <v>217</v>
      </c>
      <c r="D30" s="105" t="s">
        <v>217</v>
      </c>
      <c r="E30" s="105" t="s">
        <v>217</v>
      </c>
      <c r="F30" s="105" t="s">
        <v>217</v>
      </c>
    </row>
    <row r="31" ht="18.75" customHeight="1">
      <c r="A31" s="105" t="s">
        <v>247</v>
      </c>
      <c r="B31" s="45">
        <v>5500.0</v>
      </c>
      <c r="C31" s="105" t="s">
        <v>248</v>
      </c>
      <c r="D31" s="105" t="s">
        <v>248</v>
      </c>
      <c r="E31" s="105" t="s">
        <v>248</v>
      </c>
      <c r="F31" s="105" t="s">
        <v>248</v>
      </c>
    </row>
    <row r="32" ht="18.75" customHeight="1">
      <c r="A32" s="105" t="s">
        <v>167</v>
      </c>
      <c r="B32" s="45">
        <v>5500.0</v>
      </c>
      <c r="C32" s="105" t="s">
        <v>248</v>
      </c>
      <c r="D32" s="105" t="s">
        <v>248</v>
      </c>
      <c r="E32" s="105" t="s">
        <v>248</v>
      </c>
      <c r="F32" s="105" t="s">
        <v>248</v>
      </c>
    </row>
    <row r="33" ht="18.75" customHeight="1">
      <c r="A33" s="105" t="s">
        <v>249</v>
      </c>
      <c r="B33" s="45">
        <v>5500.0</v>
      </c>
      <c r="C33" s="105" t="s">
        <v>225</v>
      </c>
      <c r="D33" s="105" t="s">
        <v>225</v>
      </c>
      <c r="E33" s="105" t="s">
        <v>225</v>
      </c>
      <c r="F33" s="105" t="s">
        <v>225</v>
      </c>
    </row>
    <row r="34" ht="18.75" customHeight="1">
      <c r="B34" s="45"/>
    </row>
    <row r="35" ht="18.75" customHeight="1">
      <c r="B35" s="45"/>
    </row>
    <row r="36" ht="18.75" customHeight="1">
      <c r="B36" s="45"/>
    </row>
    <row r="37" ht="18.75" customHeight="1">
      <c r="B37" s="45"/>
    </row>
    <row r="38" ht="18.75" customHeight="1">
      <c r="B38" s="45"/>
    </row>
    <row r="39" ht="18.75" customHeight="1">
      <c r="B39" s="45"/>
    </row>
    <row r="40" ht="18.75" customHeight="1">
      <c r="B40" s="45"/>
    </row>
    <row r="41" ht="18.75" customHeight="1">
      <c r="B41" s="45"/>
    </row>
    <row r="42" ht="18.75" customHeight="1">
      <c r="B42" s="45"/>
    </row>
    <row r="43" ht="18.75" customHeight="1">
      <c r="B43" s="45"/>
    </row>
    <row r="44" ht="18.75" customHeight="1">
      <c r="B44" s="45"/>
    </row>
    <row r="45" ht="18.75" customHeight="1">
      <c r="B45" s="45"/>
    </row>
    <row r="46" ht="18.75" customHeight="1">
      <c r="B46" s="45"/>
    </row>
    <row r="47" ht="18.75" customHeight="1">
      <c r="B47" s="45"/>
    </row>
    <row r="48" ht="18.75" customHeight="1">
      <c r="B48" s="45"/>
    </row>
    <row r="49" ht="18.75" customHeight="1">
      <c r="B49" s="45"/>
    </row>
    <row r="50" ht="18.75" customHeight="1">
      <c r="B50" s="45"/>
    </row>
    <row r="51" ht="18.75" customHeight="1">
      <c r="B51" s="45"/>
    </row>
    <row r="52" ht="18.75" customHeight="1">
      <c r="B52" s="45"/>
    </row>
    <row r="53" ht="18.75" customHeight="1">
      <c r="B53" s="45"/>
    </row>
    <row r="54" ht="18.75" customHeight="1">
      <c r="B54" s="45"/>
    </row>
    <row r="55" ht="18.75" customHeight="1">
      <c r="B55" s="45"/>
    </row>
    <row r="56" ht="18.75" customHeight="1">
      <c r="B56" s="45"/>
    </row>
    <row r="57" ht="18.75" customHeight="1">
      <c r="B57" s="45"/>
    </row>
    <row r="58" ht="18.75" customHeight="1">
      <c r="B58" s="45"/>
    </row>
    <row r="59" ht="18.75" customHeight="1">
      <c r="B59" s="45"/>
    </row>
    <row r="60" ht="18.75" customHeight="1">
      <c r="B60" s="45"/>
    </row>
    <row r="61" ht="18.75" customHeight="1">
      <c r="B61" s="45"/>
    </row>
    <row r="62" ht="18.75" customHeight="1">
      <c r="B62" s="45"/>
    </row>
    <row r="63" ht="18.75" customHeight="1">
      <c r="B63" s="45"/>
    </row>
    <row r="64" ht="18.75" customHeight="1">
      <c r="B64" s="45"/>
    </row>
    <row r="65" ht="18.75" customHeight="1">
      <c r="B65" s="45"/>
    </row>
    <row r="66" ht="18.75" customHeight="1">
      <c r="B66" s="45"/>
    </row>
    <row r="67" ht="18.75" customHeight="1">
      <c r="B67" s="45"/>
    </row>
    <row r="68" ht="18.75" customHeight="1">
      <c r="B68" s="45"/>
    </row>
    <row r="69" ht="18.75" customHeight="1">
      <c r="B69" s="45"/>
    </row>
    <row r="70" ht="18.75" customHeight="1">
      <c r="B70" s="45"/>
    </row>
    <row r="71" ht="18.75" customHeight="1">
      <c r="B71" s="45"/>
    </row>
    <row r="72" ht="18.75" customHeight="1">
      <c r="B72" s="45"/>
    </row>
    <row r="73" ht="18.75" customHeight="1">
      <c r="B73" s="45"/>
    </row>
    <row r="74" ht="18.75" customHeight="1">
      <c r="B74" s="45"/>
    </row>
    <row r="75" ht="18.75" customHeight="1">
      <c r="B75" s="45"/>
    </row>
    <row r="76" ht="18.75" customHeight="1">
      <c r="B76" s="45"/>
    </row>
    <row r="77" ht="18.75" customHeight="1">
      <c r="B77" s="45"/>
    </row>
    <row r="78" ht="18.75" customHeight="1">
      <c r="B78" s="45"/>
    </row>
    <row r="79" ht="18.75" customHeight="1">
      <c r="B79" s="45"/>
    </row>
    <row r="80" ht="18.75" customHeight="1">
      <c r="B80" s="45"/>
    </row>
    <row r="81" ht="18.75" customHeight="1">
      <c r="B81" s="45"/>
    </row>
    <row r="82" ht="18.75" customHeight="1">
      <c r="B82" s="45"/>
    </row>
    <row r="83" ht="18.75" customHeight="1">
      <c r="B83" s="45"/>
    </row>
    <row r="84" ht="18.75" customHeight="1">
      <c r="B84" s="45"/>
    </row>
    <row r="85" ht="18.75" customHeight="1">
      <c r="B85" s="45"/>
    </row>
    <row r="86" ht="18.75" customHeight="1">
      <c r="B86" s="45"/>
    </row>
    <row r="87" ht="18.75" customHeight="1">
      <c r="B87" s="45"/>
    </row>
    <row r="88" ht="18.75" customHeight="1">
      <c r="B88" s="45"/>
    </row>
    <row r="89" ht="18.75" customHeight="1">
      <c r="B89" s="45"/>
    </row>
    <row r="90" ht="18.75" customHeight="1">
      <c r="B90" s="45"/>
    </row>
    <row r="91" ht="18.75" customHeight="1">
      <c r="B91" s="45"/>
    </row>
    <row r="92" ht="18.75" customHeight="1">
      <c r="B92" s="45"/>
    </row>
    <row r="93" ht="18.75" customHeight="1">
      <c r="B93" s="45"/>
    </row>
    <row r="94" ht="18.75" customHeight="1">
      <c r="B94" s="45"/>
    </row>
    <row r="95" ht="18.75" customHeight="1">
      <c r="B95" s="45"/>
    </row>
    <row r="96" ht="18.75" customHeight="1">
      <c r="B96" s="45"/>
    </row>
    <row r="97" ht="18.75" customHeight="1">
      <c r="B97" s="45"/>
    </row>
    <row r="98" ht="18.75" customHeight="1">
      <c r="B98" s="45"/>
    </row>
    <row r="99" ht="18.75" customHeight="1">
      <c r="B99" s="45"/>
    </row>
    <row r="100" ht="18.75" customHeight="1">
      <c r="B100" s="45"/>
    </row>
    <row r="101" ht="18.75" customHeight="1">
      <c r="B101" s="45"/>
    </row>
    <row r="102" ht="18.75" customHeight="1">
      <c r="B102" s="45"/>
    </row>
    <row r="103" ht="18.75" customHeight="1">
      <c r="B103" s="45"/>
    </row>
    <row r="104" ht="18.75" customHeight="1">
      <c r="B104" s="45"/>
    </row>
    <row r="105" ht="18.75" customHeight="1">
      <c r="B105" s="45"/>
    </row>
    <row r="106" ht="18.75" customHeight="1">
      <c r="B106" s="45"/>
    </row>
    <row r="107" ht="18.75" customHeight="1">
      <c r="B107" s="45"/>
    </row>
    <row r="108" ht="18.75" customHeight="1">
      <c r="B108" s="45"/>
    </row>
    <row r="109" ht="18.75" customHeight="1">
      <c r="B109" s="45"/>
    </row>
    <row r="110" ht="18.75" customHeight="1">
      <c r="B110" s="45"/>
    </row>
    <row r="111" ht="18.75" customHeight="1">
      <c r="B111" s="45"/>
    </row>
    <row r="112" ht="18.75" customHeight="1">
      <c r="B112" s="45"/>
    </row>
    <row r="113" ht="18.75" customHeight="1">
      <c r="B113" s="45"/>
    </row>
    <row r="114" ht="18.75" customHeight="1">
      <c r="B114" s="45"/>
    </row>
    <row r="115" ht="18.75" customHeight="1">
      <c r="B115" s="45"/>
    </row>
    <row r="116" ht="18.75" customHeight="1">
      <c r="B116" s="45"/>
    </row>
    <row r="117" ht="18.75" customHeight="1">
      <c r="B117" s="45"/>
    </row>
    <row r="118" ht="18.75" customHeight="1">
      <c r="B118" s="45"/>
    </row>
    <row r="119" ht="18.75" customHeight="1">
      <c r="B119" s="45"/>
    </row>
    <row r="120" ht="18.75" customHeight="1">
      <c r="B120" s="45"/>
    </row>
    <row r="121" ht="18.75" customHeight="1">
      <c r="B121" s="45"/>
    </row>
    <row r="122" ht="18.75" customHeight="1">
      <c r="B122" s="45"/>
    </row>
    <row r="123" ht="18.75" customHeight="1">
      <c r="B123" s="45"/>
    </row>
    <row r="124" ht="18.75" customHeight="1">
      <c r="B124" s="45"/>
    </row>
    <row r="125" ht="18.75" customHeight="1">
      <c r="B125" s="45"/>
    </row>
    <row r="126" ht="18.75" customHeight="1">
      <c r="B126" s="45"/>
    </row>
    <row r="127" ht="18.75" customHeight="1">
      <c r="B127" s="45"/>
    </row>
    <row r="128" ht="18.75" customHeight="1">
      <c r="B128" s="45"/>
    </row>
    <row r="129" ht="18.75" customHeight="1">
      <c r="B129" s="45"/>
    </row>
    <row r="130" ht="18.75" customHeight="1">
      <c r="B130" s="45"/>
    </row>
    <row r="131" ht="18.75" customHeight="1">
      <c r="B131" s="45"/>
    </row>
    <row r="132" ht="18.75" customHeight="1">
      <c r="B132" s="45"/>
    </row>
    <row r="133" ht="18.75" customHeight="1">
      <c r="B133" s="45"/>
    </row>
    <row r="134" ht="18.75" customHeight="1">
      <c r="B134" s="45"/>
    </row>
    <row r="135" ht="18.75" customHeight="1">
      <c r="B135" s="45"/>
    </row>
    <row r="136" ht="18.75" customHeight="1">
      <c r="B136" s="45"/>
    </row>
    <row r="137" ht="18.75" customHeight="1">
      <c r="B137" s="45"/>
    </row>
    <row r="138" ht="18.75" customHeight="1">
      <c r="B138" s="45"/>
    </row>
    <row r="139" ht="18.75" customHeight="1">
      <c r="B139" s="45"/>
    </row>
    <row r="140" ht="18.75" customHeight="1">
      <c r="B140" s="45"/>
    </row>
    <row r="141" ht="18.75" customHeight="1">
      <c r="B141" s="45"/>
    </row>
    <row r="142" ht="18.75" customHeight="1">
      <c r="B142" s="45"/>
    </row>
    <row r="143" ht="18.75" customHeight="1">
      <c r="B143" s="45"/>
    </row>
    <row r="144" ht="18.75" customHeight="1">
      <c r="B144" s="45"/>
    </row>
    <row r="145" ht="18.75" customHeight="1">
      <c r="B145" s="45"/>
    </row>
    <row r="146" ht="18.75" customHeight="1">
      <c r="B146" s="45"/>
    </row>
    <row r="147" ht="18.75" customHeight="1">
      <c r="B147" s="45"/>
    </row>
    <row r="148" ht="18.75" customHeight="1">
      <c r="B148" s="45"/>
    </row>
    <row r="149" ht="18.75" customHeight="1">
      <c r="B149" s="45"/>
    </row>
    <row r="150" ht="18.75" customHeight="1">
      <c r="B150" s="45"/>
    </row>
    <row r="151" ht="18.75" customHeight="1">
      <c r="B151" s="45"/>
    </row>
    <row r="152" ht="18.75" customHeight="1">
      <c r="B152" s="45"/>
    </row>
    <row r="153" ht="18.75" customHeight="1">
      <c r="B153" s="45"/>
    </row>
    <row r="154" ht="18.75" customHeight="1">
      <c r="B154" s="45"/>
    </row>
    <row r="155" ht="18.75" customHeight="1">
      <c r="B155" s="45"/>
    </row>
    <row r="156" ht="18.75" customHeight="1">
      <c r="B156" s="45"/>
    </row>
    <row r="157" ht="18.75" customHeight="1">
      <c r="B157" s="45"/>
    </row>
    <row r="158" ht="18.75" customHeight="1">
      <c r="B158" s="45"/>
    </row>
    <row r="159" ht="18.75" customHeight="1">
      <c r="B159" s="45"/>
    </row>
    <row r="160" ht="18.75" customHeight="1">
      <c r="B160" s="45"/>
    </row>
    <row r="161" ht="18.75" customHeight="1">
      <c r="B161" s="45"/>
    </row>
    <row r="162" ht="18.75" customHeight="1">
      <c r="B162" s="45"/>
    </row>
    <row r="163" ht="18.75" customHeight="1">
      <c r="B163" s="45"/>
    </row>
    <row r="164" ht="18.75" customHeight="1">
      <c r="B164" s="45"/>
    </row>
    <row r="165" ht="18.75" customHeight="1">
      <c r="B165" s="45"/>
    </row>
    <row r="166" ht="18.75" customHeight="1">
      <c r="B166" s="45"/>
    </row>
    <row r="167" ht="18.75" customHeight="1">
      <c r="B167" s="45"/>
    </row>
    <row r="168" ht="18.75" customHeight="1">
      <c r="B168" s="45"/>
    </row>
    <row r="169" ht="18.75" customHeight="1">
      <c r="B169" s="45"/>
    </row>
    <row r="170" ht="18.75" customHeight="1">
      <c r="B170" s="45"/>
    </row>
    <row r="171" ht="18.75" customHeight="1">
      <c r="B171" s="45"/>
    </row>
    <row r="172" ht="18.75" customHeight="1">
      <c r="B172" s="45"/>
    </row>
    <row r="173" ht="18.75" customHeight="1">
      <c r="B173" s="45"/>
    </row>
    <row r="174" ht="18.75" customHeight="1">
      <c r="B174" s="45"/>
    </row>
    <row r="175" ht="18.75" customHeight="1">
      <c r="B175" s="45"/>
    </row>
    <row r="176" ht="18.75" customHeight="1">
      <c r="B176" s="45"/>
    </row>
    <row r="177" ht="18.75" customHeight="1">
      <c r="B177" s="45"/>
    </row>
    <row r="178" ht="18.75" customHeight="1">
      <c r="B178" s="45"/>
    </row>
    <row r="179" ht="18.75" customHeight="1">
      <c r="B179" s="45"/>
    </row>
    <row r="180" ht="18.75" customHeight="1">
      <c r="B180" s="45"/>
    </row>
    <row r="181" ht="18.75" customHeight="1">
      <c r="B181" s="45"/>
    </row>
    <row r="182" ht="18.75" customHeight="1">
      <c r="B182" s="45"/>
    </row>
    <row r="183" ht="18.75" customHeight="1">
      <c r="B183" s="45"/>
    </row>
    <row r="184" ht="18.75" customHeight="1">
      <c r="B184" s="45"/>
    </row>
    <row r="185" ht="18.75" customHeight="1">
      <c r="B185" s="45"/>
    </row>
    <row r="186" ht="18.75" customHeight="1">
      <c r="B186" s="45"/>
    </row>
    <row r="187" ht="18.75" customHeight="1">
      <c r="B187" s="45"/>
    </row>
    <row r="188" ht="18.75" customHeight="1">
      <c r="B188" s="45"/>
    </row>
    <row r="189" ht="18.75" customHeight="1">
      <c r="B189" s="45"/>
    </row>
    <row r="190" ht="18.75" customHeight="1">
      <c r="B190" s="45"/>
    </row>
    <row r="191" ht="18.75" customHeight="1">
      <c r="B191" s="45"/>
    </row>
    <row r="192" ht="18.75" customHeight="1">
      <c r="B192" s="45"/>
    </row>
    <row r="193" ht="18.75" customHeight="1">
      <c r="B193" s="45"/>
    </row>
    <row r="194" ht="18.75" customHeight="1">
      <c r="B194" s="45"/>
    </row>
    <row r="195" ht="18.75" customHeight="1">
      <c r="B195" s="45"/>
    </row>
    <row r="196" ht="18.75" customHeight="1">
      <c r="B196" s="45"/>
    </row>
    <row r="197" ht="18.75" customHeight="1">
      <c r="B197" s="45"/>
    </row>
    <row r="198" ht="18.75" customHeight="1">
      <c r="B198" s="45"/>
    </row>
    <row r="199" ht="18.75" customHeight="1">
      <c r="B199" s="45"/>
    </row>
    <row r="200" ht="18.75" customHeight="1">
      <c r="B200" s="45"/>
    </row>
    <row r="201" ht="18.75" customHeight="1">
      <c r="B201" s="45"/>
    </row>
    <row r="202" ht="18.75" customHeight="1">
      <c r="B202" s="45"/>
    </row>
    <row r="203" ht="18.75" customHeight="1">
      <c r="B203" s="45"/>
    </row>
    <row r="204" ht="18.75" customHeight="1">
      <c r="B204" s="45"/>
    </row>
    <row r="205" ht="18.75" customHeight="1">
      <c r="B205" s="45"/>
    </row>
    <row r="206" ht="18.75" customHeight="1">
      <c r="B206" s="45"/>
    </row>
    <row r="207" ht="18.75" customHeight="1">
      <c r="B207" s="45"/>
    </row>
    <row r="208" ht="18.75" customHeight="1">
      <c r="B208" s="45"/>
    </row>
    <row r="209" ht="18.75" customHeight="1">
      <c r="B209" s="45"/>
    </row>
    <row r="210" ht="18.75" customHeight="1">
      <c r="B210" s="45"/>
    </row>
    <row r="211" ht="18.75" customHeight="1">
      <c r="B211" s="45"/>
    </row>
    <row r="212" ht="18.75" customHeight="1">
      <c r="B212" s="45"/>
    </row>
    <row r="213" ht="18.75" customHeight="1">
      <c r="B213" s="45"/>
    </row>
    <row r="214" ht="18.75" customHeight="1">
      <c r="B214" s="45"/>
    </row>
    <row r="215" ht="18.75" customHeight="1">
      <c r="B215" s="45"/>
    </row>
    <row r="216" ht="18.75" customHeight="1">
      <c r="B216" s="45"/>
    </row>
    <row r="217" ht="18.75" customHeight="1">
      <c r="B217" s="45"/>
    </row>
    <row r="218" ht="18.75" customHeight="1">
      <c r="B218" s="45"/>
    </row>
    <row r="219" ht="18.75" customHeight="1">
      <c r="B219" s="45"/>
    </row>
    <row r="220" ht="18.75" customHeight="1">
      <c r="B220" s="45"/>
    </row>
    <row r="221" ht="18.75" customHeight="1">
      <c r="B221" s="45"/>
    </row>
    <row r="222" ht="18.75" customHeight="1">
      <c r="B222" s="45"/>
    </row>
    <row r="223" ht="18.75" customHeight="1">
      <c r="B223" s="45"/>
    </row>
    <row r="224" ht="18.75" customHeight="1">
      <c r="B224" s="45"/>
    </row>
    <row r="225" ht="18.75" customHeight="1">
      <c r="B225" s="45"/>
    </row>
    <row r="226" ht="18.75" customHeight="1">
      <c r="B226" s="45"/>
    </row>
    <row r="227" ht="18.75" customHeight="1">
      <c r="B227" s="45"/>
    </row>
    <row r="228" ht="18.75" customHeight="1">
      <c r="B228" s="45"/>
    </row>
    <row r="229" ht="18.75" customHeight="1">
      <c r="B229" s="45"/>
    </row>
    <row r="230" ht="18.75" customHeight="1">
      <c r="B230" s="45"/>
    </row>
    <row r="231" ht="18.75" customHeight="1">
      <c r="B231" s="45"/>
    </row>
    <row r="232" ht="18.75" customHeight="1">
      <c r="B232" s="45"/>
    </row>
    <row r="233" ht="18.75" customHeight="1">
      <c r="B233" s="45"/>
    </row>
    <row r="234" ht="18.75" customHeight="1">
      <c r="B234" s="45"/>
    </row>
    <row r="235" ht="18.75" customHeight="1">
      <c r="B235" s="45"/>
    </row>
    <row r="236" ht="18.75" customHeight="1">
      <c r="B236" s="45"/>
    </row>
    <row r="237" ht="18.75" customHeight="1">
      <c r="B237" s="45"/>
    </row>
    <row r="238" ht="18.75" customHeight="1">
      <c r="B238" s="45"/>
    </row>
    <row r="239" ht="18.75" customHeight="1">
      <c r="B239" s="45"/>
    </row>
    <row r="240" ht="18.75" customHeight="1">
      <c r="B240" s="45"/>
    </row>
    <row r="241" ht="18.75" customHeight="1">
      <c r="B241" s="45"/>
    </row>
    <row r="242" ht="18.75" customHeight="1">
      <c r="B242" s="45"/>
    </row>
    <row r="243" ht="18.75" customHeight="1">
      <c r="B243" s="45"/>
    </row>
    <row r="244" ht="18.75" customHeight="1">
      <c r="B244" s="45"/>
    </row>
    <row r="245" ht="18.75" customHeight="1">
      <c r="B245" s="45"/>
    </row>
    <row r="246" ht="18.75" customHeight="1">
      <c r="B246" s="45"/>
    </row>
    <row r="247" ht="18.75" customHeight="1">
      <c r="B247" s="45"/>
    </row>
    <row r="248" ht="18.75" customHeight="1">
      <c r="B248" s="45"/>
    </row>
    <row r="249" ht="18.75" customHeight="1">
      <c r="B249" s="45"/>
    </row>
    <row r="250" ht="18.75" customHeight="1">
      <c r="B250" s="45"/>
    </row>
    <row r="251" ht="18.75" customHeight="1">
      <c r="B251" s="45"/>
    </row>
    <row r="252" ht="18.75" customHeight="1">
      <c r="B252" s="45"/>
    </row>
    <row r="253" ht="18.75" customHeight="1">
      <c r="B253" s="45"/>
    </row>
    <row r="254" ht="18.75" customHeight="1">
      <c r="B254" s="45"/>
    </row>
    <row r="255" ht="18.75" customHeight="1">
      <c r="B255" s="45"/>
    </row>
    <row r="256" ht="18.75" customHeight="1">
      <c r="B256" s="45"/>
    </row>
    <row r="257" ht="18.75" customHeight="1">
      <c r="B257" s="45"/>
    </row>
    <row r="258" ht="18.75" customHeight="1">
      <c r="B258" s="45"/>
    </row>
    <row r="259" ht="18.75" customHeight="1">
      <c r="B259" s="45"/>
    </row>
    <row r="260" ht="18.75" customHeight="1">
      <c r="B260" s="45"/>
    </row>
    <row r="261" ht="18.75" customHeight="1">
      <c r="B261" s="45"/>
    </row>
    <row r="262" ht="18.75" customHeight="1">
      <c r="B262" s="45"/>
    </row>
    <row r="263" ht="18.75" customHeight="1">
      <c r="B263" s="45"/>
    </row>
    <row r="264" ht="18.75" customHeight="1">
      <c r="B264" s="45"/>
    </row>
    <row r="265" ht="18.75" customHeight="1">
      <c r="B265" s="45"/>
    </row>
    <row r="266" ht="18.75" customHeight="1">
      <c r="B266" s="45"/>
    </row>
    <row r="267" ht="18.75" customHeight="1">
      <c r="B267" s="45"/>
    </row>
    <row r="268" ht="18.75" customHeight="1">
      <c r="B268" s="45"/>
    </row>
    <row r="269" ht="18.75" customHeight="1">
      <c r="B269" s="45"/>
    </row>
    <row r="270" ht="18.75" customHeight="1">
      <c r="B270" s="45"/>
    </row>
    <row r="271" ht="18.75" customHeight="1">
      <c r="B271" s="45"/>
    </row>
    <row r="272" ht="18.75" customHeight="1">
      <c r="B272" s="45"/>
    </row>
    <row r="273" ht="18.75" customHeight="1">
      <c r="B273" s="45"/>
    </row>
    <row r="274" ht="18.75" customHeight="1">
      <c r="B274" s="45"/>
    </row>
    <row r="275" ht="18.75" customHeight="1">
      <c r="B275" s="45"/>
    </row>
    <row r="276" ht="18.75" customHeight="1">
      <c r="B276" s="45"/>
    </row>
    <row r="277" ht="18.75" customHeight="1">
      <c r="B277" s="45"/>
    </row>
    <row r="278" ht="18.75" customHeight="1">
      <c r="B278" s="45"/>
    </row>
    <row r="279" ht="18.75" customHeight="1">
      <c r="B279" s="45"/>
    </row>
    <row r="280" ht="18.75" customHeight="1">
      <c r="B280" s="45"/>
    </row>
    <row r="281" ht="18.75" customHeight="1">
      <c r="B281" s="45"/>
    </row>
    <row r="282" ht="18.75" customHeight="1">
      <c r="B282" s="45"/>
    </row>
    <row r="283" ht="18.75" customHeight="1">
      <c r="B283" s="45"/>
    </row>
    <row r="284" ht="18.75" customHeight="1">
      <c r="B284" s="45"/>
    </row>
    <row r="285" ht="18.75" customHeight="1">
      <c r="B285" s="45"/>
    </row>
    <row r="286" ht="18.75" customHeight="1">
      <c r="B286" s="45"/>
    </row>
    <row r="287" ht="18.75" customHeight="1">
      <c r="B287" s="45"/>
    </row>
    <row r="288" ht="18.75" customHeight="1">
      <c r="B288" s="45"/>
    </row>
    <row r="289" ht="18.75" customHeight="1">
      <c r="B289" s="45"/>
    </row>
    <row r="290" ht="18.75" customHeight="1">
      <c r="B290" s="45"/>
    </row>
    <row r="291" ht="18.75" customHeight="1">
      <c r="B291" s="45"/>
    </row>
    <row r="292" ht="18.75" customHeight="1">
      <c r="B292" s="45"/>
    </row>
    <row r="293" ht="18.75" customHeight="1">
      <c r="B293" s="45"/>
    </row>
    <row r="294" ht="18.75" customHeight="1">
      <c r="B294" s="45"/>
    </row>
    <row r="295" ht="18.75" customHeight="1">
      <c r="B295" s="45"/>
    </row>
    <row r="296" ht="18.75" customHeight="1">
      <c r="B296" s="45"/>
    </row>
    <row r="297" ht="18.75" customHeight="1">
      <c r="B297" s="45"/>
    </row>
    <row r="298" ht="18.75" customHeight="1">
      <c r="B298" s="45"/>
    </row>
    <row r="299" ht="18.75" customHeight="1">
      <c r="B299" s="45"/>
    </row>
    <row r="300" ht="18.75" customHeight="1">
      <c r="B300" s="45"/>
    </row>
    <row r="301" ht="18.75" customHeight="1">
      <c r="B301" s="45"/>
    </row>
    <row r="302" ht="18.75" customHeight="1">
      <c r="B302" s="45"/>
    </row>
    <row r="303" ht="18.75" customHeight="1">
      <c r="B303" s="45"/>
    </row>
    <row r="304" ht="18.75" customHeight="1">
      <c r="B304" s="45"/>
    </row>
    <row r="305" ht="18.75" customHeight="1">
      <c r="B305" s="45"/>
    </row>
    <row r="306" ht="18.75" customHeight="1">
      <c r="B306" s="45"/>
    </row>
    <row r="307" ht="18.75" customHeight="1">
      <c r="B307" s="45"/>
    </row>
    <row r="308" ht="18.75" customHeight="1">
      <c r="B308" s="45"/>
    </row>
    <row r="309" ht="18.75" customHeight="1">
      <c r="B309" s="45"/>
    </row>
    <row r="310" ht="18.75" customHeight="1">
      <c r="B310" s="45"/>
    </row>
    <row r="311" ht="18.75" customHeight="1">
      <c r="B311" s="45"/>
    </row>
    <row r="312" ht="18.75" customHeight="1">
      <c r="B312" s="45"/>
    </row>
    <row r="313" ht="18.75" customHeight="1">
      <c r="B313" s="45"/>
    </row>
    <row r="314" ht="18.75" customHeight="1">
      <c r="B314" s="45"/>
    </row>
    <row r="315" ht="18.75" customHeight="1">
      <c r="B315" s="45"/>
    </row>
    <row r="316" ht="18.75" customHeight="1">
      <c r="B316" s="45"/>
    </row>
    <row r="317" ht="18.75" customHeight="1">
      <c r="B317" s="45"/>
    </row>
    <row r="318" ht="18.75" customHeight="1">
      <c r="B318" s="45"/>
    </row>
    <row r="319" ht="18.75" customHeight="1">
      <c r="B319" s="45"/>
    </row>
    <row r="320" ht="18.75" customHeight="1">
      <c r="B320" s="45"/>
    </row>
    <row r="321" ht="18.75" customHeight="1">
      <c r="B321" s="45"/>
    </row>
    <row r="322" ht="18.75" customHeight="1">
      <c r="B322" s="45"/>
    </row>
    <row r="323" ht="18.75" customHeight="1">
      <c r="B323" s="45"/>
    </row>
    <row r="324" ht="18.75" customHeight="1">
      <c r="B324" s="45"/>
    </row>
    <row r="325" ht="18.75" customHeight="1">
      <c r="B325" s="45"/>
    </row>
    <row r="326" ht="18.75" customHeight="1">
      <c r="B326" s="45"/>
    </row>
    <row r="327" ht="18.75" customHeight="1">
      <c r="B327" s="45"/>
    </row>
    <row r="328" ht="18.75" customHeight="1">
      <c r="B328" s="45"/>
    </row>
    <row r="329" ht="18.75" customHeight="1">
      <c r="B329" s="45"/>
    </row>
    <row r="330" ht="18.75" customHeight="1">
      <c r="B330" s="45"/>
    </row>
    <row r="331" ht="18.75" customHeight="1">
      <c r="B331" s="45"/>
    </row>
    <row r="332" ht="18.75" customHeight="1">
      <c r="B332" s="45"/>
    </row>
    <row r="333" ht="18.75" customHeight="1">
      <c r="B333" s="45"/>
    </row>
    <row r="334" ht="18.75" customHeight="1">
      <c r="B334" s="45"/>
    </row>
    <row r="335" ht="18.75" customHeight="1">
      <c r="B335" s="45"/>
    </row>
    <row r="336" ht="18.75" customHeight="1">
      <c r="B336" s="45"/>
    </row>
    <row r="337" ht="18.75" customHeight="1">
      <c r="B337" s="45"/>
    </row>
    <row r="338" ht="18.75" customHeight="1">
      <c r="B338" s="45"/>
    </row>
    <row r="339" ht="18.75" customHeight="1">
      <c r="B339" s="45"/>
    </row>
    <row r="340" ht="18.75" customHeight="1">
      <c r="B340" s="45"/>
    </row>
    <row r="341" ht="18.75" customHeight="1">
      <c r="B341" s="45"/>
    </row>
    <row r="342" ht="18.75" customHeight="1">
      <c r="B342" s="45"/>
    </row>
    <row r="343" ht="18.75" customHeight="1">
      <c r="B343" s="45"/>
    </row>
    <row r="344" ht="18.75" customHeight="1">
      <c r="B344" s="45"/>
    </row>
    <row r="345" ht="18.75" customHeight="1">
      <c r="B345" s="45"/>
    </row>
    <row r="346" ht="18.75" customHeight="1">
      <c r="B346" s="45"/>
    </row>
    <row r="347" ht="18.75" customHeight="1">
      <c r="B347" s="45"/>
    </row>
    <row r="348" ht="18.75" customHeight="1">
      <c r="B348" s="45"/>
    </row>
    <row r="349" ht="18.75" customHeight="1">
      <c r="B349" s="45"/>
    </row>
    <row r="350" ht="18.75" customHeight="1">
      <c r="B350" s="45"/>
    </row>
    <row r="351" ht="18.75" customHeight="1">
      <c r="B351" s="45"/>
    </row>
    <row r="352" ht="18.75" customHeight="1">
      <c r="B352" s="45"/>
    </row>
    <row r="353" ht="18.75" customHeight="1">
      <c r="B353" s="45"/>
    </row>
    <row r="354" ht="18.75" customHeight="1">
      <c r="B354" s="45"/>
    </row>
    <row r="355" ht="18.75" customHeight="1">
      <c r="B355" s="45"/>
    </row>
    <row r="356" ht="18.75" customHeight="1">
      <c r="B356" s="45"/>
    </row>
    <row r="357" ht="18.75" customHeight="1">
      <c r="B357" s="45"/>
    </row>
    <row r="358" ht="18.75" customHeight="1">
      <c r="B358" s="45"/>
    </row>
    <row r="359" ht="18.75" customHeight="1">
      <c r="B359" s="45"/>
    </row>
    <row r="360" ht="18.75" customHeight="1">
      <c r="B360" s="45"/>
    </row>
    <row r="361" ht="18.75" customHeight="1">
      <c r="B361" s="45"/>
    </row>
    <row r="362" ht="18.75" customHeight="1">
      <c r="B362" s="45"/>
    </row>
    <row r="363" ht="18.75" customHeight="1">
      <c r="B363" s="45"/>
    </row>
    <row r="364" ht="18.75" customHeight="1">
      <c r="B364" s="45"/>
    </row>
    <row r="365" ht="18.75" customHeight="1">
      <c r="B365" s="45"/>
    </row>
    <row r="366" ht="18.75" customHeight="1">
      <c r="B366" s="45"/>
    </row>
    <row r="367" ht="18.75" customHeight="1">
      <c r="B367" s="45"/>
    </row>
    <row r="368" ht="18.75" customHeight="1">
      <c r="B368" s="45"/>
    </row>
    <row r="369" ht="18.75" customHeight="1">
      <c r="B369" s="45"/>
    </row>
    <row r="370" ht="18.75" customHeight="1">
      <c r="B370" s="45"/>
    </row>
    <row r="371" ht="18.75" customHeight="1">
      <c r="B371" s="45"/>
    </row>
    <row r="372" ht="18.75" customHeight="1">
      <c r="B372" s="45"/>
    </row>
    <row r="373" ht="18.75" customHeight="1">
      <c r="B373" s="45"/>
    </row>
    <row r="374" ht="18.75" customHeight="1">
      <c r="B374" s="45"/>
    </row>
    <row r="375" ht="18.75" customHeight="1">
      <c r="B375" s="45"/>
    </row>
    <row r="376" ht="18.75" customHeight="1">
      <c r="B376" s="45"/>
    </row>
    <row r="377" ht="18.75" customHeight="1">
      <c r="B377" s="45"/>
    </row>
    <row r="378" ht="18.75" customHeight="1">
      <c r="B378" s="45"/>
    </row>
    <row r="379" ht="18.75" customHeight="1">
      <c r="B379" s="45"/>
    </row>
    <row r="380" ht="18.75" customHeight="1">
      <c r="B380" s="45"/>
    </row>
    <row r="381" ht="18.75" customHeight="1">
      <c r="B381" s="45"/>
    </row>
    <row r="382" ht="18.75" customHeight="1">
      <c r="B382" s="45"/>
    </row>
    <row r="383" ht="18.75" customHeight="1">
      <c r="B383" s="45"/>
    </row>
    <row r="384" ht="18.75" customHeight="1">
      <c r="B384" s="45"/>
    </row>
    <row r="385" ht="18.75" customHeight="1">
      <c r="B385" s="45"/>
    </row>
    <row r="386" ht="18.75" customHeight="1">
      <c r="B386" s="45"/>
    </row>
    <row r="387" ht="18.75" customHeight="1">
      <c r="B387" s="45"/>
    </row>
    <row r="388" ht="18.75" customHeight="1">
      <c r="B388" s="45"/>
    </row>
    <row r="389" ht="18.75" customHeight="1">
      <c r="B389" s="45"/>
    </row>
    <row r="390" ht="18.75" customHeight="1">
      <c r="B390" s="45"/>
    </row>
    <row r="391" ht="18.75" customHeight="1">
      <c r="B391" s="45"/>
    </row>
    <row r="392" ht="18.75" customHeight="1">
      <c r="B392" s="45"/>
    </row>
    <row r="393" ht="18.75" customHeight="1">
      <c r="B393" s="45"/>
    </row>
    <row r="394" ht="18.75" customHeight="1">
      <c r="B394" s="45"/>
    </row>
    <row r="395" ht="18.75" customHeight="1">
      <c r="B395" s="45"/>
    </row>
    <row r="396" ht="18.75" customHeight="1">
      <c r="B396" s="45"/>
    </row>
    <row r="397" ht="18.75" customHeight="1">
      <c r="B397" s="45"/>
    </row>
    <row r="398" ht="18.75" customHeight="1">
      <c r="B398" s="45"/>
    </row>
    <row r="399" ht="18.75" customHeight="1">
      <c r="B399" s="45"/>
    </row>
    <row r="400" ht="18.75" customHeight="1">
      <c r="B400" s="45"/>
    </row>
    <row r="401" ht="18.75" customHeight="1">
      <c r="B401" s="45"/>
    </row>
    <row r="402" ht="18.75" customHeight="1">
      <c r="B402" s="45"/>
    </row>
    <row r="403" ht="18.75" customHeight="1">
      <c r="B403" s="45"/>
    </row>
    <row r="404" ht="18.75" customHeight="1">
      <c r="B404" s="45"/>
    </row>
    <row r="405" ht="18.75" customHeight="1">
      <c r="B405" s="45"/>
    </row>
    <row r="406" ht="18.75" customHeight="1">
      <c r="B406" s="45"/>
    </row>
    <row r="407" ht="18.75" customHeight="1">
      <c r="B407" s="45"/>
    </row>
    <row r="408" ht="18.75" customHeight="1">
      <c r="B408" s="45"/>
    </row>
    <row r="409" ht="18.75" customHeight="1">
      <c r="B409" s="45"/>
    </row>
    <row r="410" ht="18.75" customHeight="1">
      <c r="B410" s="45"/>
    </row>
    <row r="411" ht="18.75" customHeight="1">
      <c r="B411" s="45"/>
    </row>
    <row r="412" ht="18.75" customHeight="1">
      <c r="B412" s="45"/>
    </row>
    <row r="413" ht="18.75" customHeight="1">
      <c r="B413" s="45"/>
    </row>
    <row r="414" ht="18.75" customHeight="1">
      <c r="B414" s="45"/>
    </row>
    <row r="415" ht="18.75" customHeight="1">
      <c r="B415" s="45"/>
    </row>
    <row r="416" ht="18.75" customHeight="1">
      <c r="B416" s="45"/>
    </row>
    <row r="417" ht="18.75" customHeight="1">
      <c r="B417" s="45"/>
    </row>
    <row r="418" ht="18.75" customHeight="1">
      <c r="B418" s="45"/>
    </row>
    <row r="419" ht="18.75" customHeight="1">
      <c r="B419" s="45"/>
    </row>
    <row r="420" ht="18.75" customHeight="1">
      <c r="B420" s="45"/>
    </row>
    <row r="421" ht="18.75" customHeight="1">
      <c r="B421" s="45"/>
    </row>
    <row r="422" ht="18.75" customHeight="1">
      <c r="B422" s="45"/>
    </row>
    <row r="423" ht="18.75" customHeight="1">
      <c r="B423" s="45"/>
    </row>
    <row r="424" ht="18.75" customHeight="1">
      <c r="B424" s="45"/>
    </row>
    <row r="425" ht="18.75" customHeight="1">
      <c r="B425" s="45"/>
    </row>
    <row r="426" ht="18.75" customHeight="1">
      <c r="B426" s="45"/>
    </row>
    <row r="427" ht="18.75" customHeight="1">
      <c r="B427" s="45"/>
    </row>
    <row r="428" ht="18.75" customHeight="1">
      <c r="B428" s="45"/>
    </row>
    <row r="429" ht="18.75" customHeight="1">
      <c r="B429" s="45"/>
    </row>
    <row r="430" ht="18.75" customHeight="1">
      <c r="B430" s="45"/>
    </row>
    <row r="431" ht="18.75" customHeight="1">
      <c r="B431" s="45"/>
    </row>
    <row r="432" ht="18.75" customHeight="1">
      <c r="B432" s="45"/>
    </row>
    <row r="433" ht="18.75" customHeight="1">
      <c r="B433" s="45"/>
    </row>
    <row r="434" ht="18.75" customHeight="1">
      <c r="B434" s="45"/>
    </row>
    <row r="435" ht="18.75" customHeight="1">
      <c r="B435" s="45"/>
    </row>
    <row r="436" ht="18.75" customHeight="1">
      <c r="B436" s="45"/>
    </row>
    <row r="437" ht="18.75" customHeight="1">
      <c r="B437" s="45"/>
    </row>
    <row r="438" ht="18.75" customHeight="1">
      <c r="B438" s="45"/>
    </row>
    <row r="439" ht="18.75" customHeight="1">
      <c r="B439" s="45"/>
    </row>
    <row r="440" ht="18.75" customHeight="1">
      <c r="B440" s="45"/>
    </row>
    <row r="441" ht="18.75" customHeight="1">
      <c r="B441" s="45"/>
    </row>
    <row r="442" ht="18.75" customHeight="1">
      <c r="B442" s="45"/>
    </row>
    <row r="443" ht="18.75" customHeight="1">
      <c r="B443" s="45"/>
    </row>
    <row r="444" ht="18.75" customHeight="1">
      <c r="B444" s="45"/>
    </row>
    <row r="445" ht="18.75" customHeight="1">
      <c r="B445" s="45"/>
    </row>
    <row r="446" ht="18.75" customHeight="1">
      <c r="B446" s="45"/>
    </row>
    <row r="447" ht="18.75" customHeight="1">
      <c r="B447" s="45"/>
    </row>
    <row r="448" ht="18.75" customHeight="1">
      <c r="B448" s="45"/>
    </row>
    <row r="449" ht="18.75" customHeight="1">
      <c r="B449" s="45"/>
    </row>
    <row r="450" ht="18.75" customHeight="1">
      <c r="B450" s="45"/>
    </row>
    <row r="451" ht="18.75" customHeight="1">
      <c r="B451" s="45"/>
    </row>
    <row r="452" ht="18.75" customHeight="1">
      <c r="B452" s="45"/>
    </row>
    <row r="453" ht="18.75" customHeight="1">
      <c r="B453" s="45"/>
    </row>
    <row r="454" ht="18.75" customHeight="1">
      <c r="B454" s="45"/>
    </row>
    <row r="455" ht="18.75" customHeight="1">
      <c r="B455" s="45"/>
    </row>
    <row r="456" ht="18.75" customHeight="1">
      <c r="B456" s="45"/>
    </row>
    <row r="457" ht="18.75" customHeight="1">
      <c r="B457" s="45"/>
    </row>
    <row r="458" ht="18.75" customHeight="1">
      <c r="B458" s="45"/>
    </row>
    <row r="459" ht="18.75" customHeight="1">
      <c r="B459" s="45"/>
    </row>
    <row r="460" ht="18.75" customHeight="1">
      <c r="B460" s="45"/>
    </row>
    <row r="461" ht="18.75" customHeight="1">
      <c r="B461" s="45"/>
    </row>
    <row r="462" ht="18.75" customHeight="1">
      <c r="B462" s="45"/>
    </row>
    <row r="463" ht="18.75" customHeight="1">
      <c r="B463" s="45"/>
    </row>
    <row r="464" ht="18.75" customHeight="1">
      <c r="B464" s="45"/>
    </row>
    <row r="465" ht="18.75" customHeight="1">
      <c r="B465" s="45"/>
    </row>
    <row r="466" ht="18.75" customHeight="1">
      <c r="B466" s="45"/>
    </row>
    <row r="467" ht="18.75" customHeight="1">
      <c r="B467" s="45"/>
    </row>
    <row r="468" ht="18.75" customHeight="1">
      <c r="B468" s="45"/>
    </row>
    <row r="469" ht="18.75" customHeight="1">
      <c r="B469" s="45"/>
    </row>
    <row r="470" ht="18.75" customHeight="1">
      <c r="B470" s="45"/>
    </row>
    <row r="471" ht="18.75" customHeight="1">
      <c r="B471" s="45"/>
    </row>
    <row r="472" ht="18.75" customHeight="1">
      <c r="B472" s="45"/>
    </row>
    <row r="473" ht="18.75" customHeight="1">
      <c r="B473" s="45"/>
    </row>
    <row r="474" ht="18.75" customHeight="1">
      <c r="B474" s="45"/>
    </row>
    <row r="475" ht="18.75" customHeight="1">
      <c r="B475" s="45"/>
    </row>
    <row r="476" ht="18.75" customHeight="1">
      <c r="B476" s="45"/>
    </row>
    <row r="477" ht="18.75" customHeight="1">
      <c r="B477" s="45"/>
    </row>
    <row r="478" ht="18.75" customHeight="1">
      <c r="B478" s="45"/>
    </row>
    <row r="479" ht="18.75" customHeight="1">
      <c r="B479" s="45"/>
    </row>
    <row r="480" ht="18.75" customHeight="1">
      <c r="B480" s="45"/>
    </row>
    <row r="481" ht="18.75" customHeight="1">
      <c r="B481" s="45"/>
    </row>
    <row r="482" ht="18.75" customHeight="1">
      <c r="B482" s="45"/>
    </row>
    <row r="483" ht="18.75" customHeight="1">
      <c r="B483" s="45"/>
    </row>
    <row r="484" ht="18.75" customHeight="1">
      <c r="B484" s="45"/>
    </row>
    <row r="485" ht="18.75" customHeight="1">
      <c r="B485" s="45"/>
    </row>
    <row r="486" ht="18.75" customHeight="1">
      <c r="B486" s="45"/>
    </row>
    <row r="487" ht="18.75" customHeight="1">
      <c r="B487" s="45"/>
    </row>
    <row r="488" ht="18.75" customHeight="1">
      <c r="B488" s="45"/>
    </row>
    <row r="489" ht="18.75" customHeight="1">
      <c r="B489" s="45"/>
    </row>
    <row r="490" ht="18.75" customHeight="1">
      <c r="B490" s="45"/>
    </row>
    <row r="491" ht="18.75" customHeight="1">
      <c r="B491" s="45"/>
    </row>
    <row r="492" ht="18.75" customHeight="1">
      <c r="B492" s="45"/>
    </row>
    <row r="493" ht="18.75" customHeight="1">
      <c r="B493" s="45"/>
    </row>
    <row r="494" ht="18.75" customHeight="1">
      <c r="B494" s="45"/>
    </row>
    <row r="495" ht="18.75" customHeight="1">
      <c r="B495" s="45"/>
    </row>
    <row r="496" ht="18.75" customHeight="1">
      <c r="B496" s="45"/>
    </row>
    <row r="497" ht="18.75" customHeight="1">
      <c r="B497" s="45"/>
    </row>
    <row r="498" ht="18.75" customHeight="1">
      <c r="B498" s="45"/>
    </row>
    <row r="499" ht="18.75" customHeight="1">
      <c r="B499" s="45"/>
    </row>
    <row r="500" ht="18.75" customHeight="1">
      <c r="B500" s="45"/>
    </row>
    <row r="501" ht="18.75" customHeight="1">
      <c r="B501" s="45"/>
    </row>
    <row r="502" ht="18.75" customHeight="1">
      <c r="B502" s="45"/>
    </row>
    <row r="503" ht="18.75" customHeight="1">
      <c r="B503" s="45"/>
    </row>
    <row r="504" ht="18.75" customHeight="1">
      <c r="B504" s="45"/>
    </row>
    <row r="505" ht="18.75" customHeight="1">
      <c r="B505" s="45"/>
    </row>
    <row r="506" ht="18.75" customHeight="1">
      <c r="B506" s="45"/>
    </row>
    <row r="507" ht="18.75" customHeight="1">
      <c r="B507" s="45"/>
    </row>
    <row r="508" ht="18.75" customHeight="1">
      <c r="B508" s="45"/>
    </row>
    <row r="509" ht="18.75" customHeight="1">
      <c r="B509" s="45"/>
    </row>
    <row r="510" ht="18.75" customHeight="1">
      <c r="B510" s="45"/>
    </row>
    <row r="511" ht="18.75" customHeight="1">
      <c r="B511" s="45"/>
    </row>
    <row r="512" ht="18.75" customHeight="1">
      <c r="B512" s="45"/>
    </row>
    <row r="513" ht="18.75" customHeight="1">
      <c r="B513" s="45"/>
    </row>
    <row r="514" ht="18.75" customHeight="1">
      <c r="B514" s="45"/>
    </row>
    <row r="515" ht="18.75" customHeight="1">
      <c r="B515" s="45"/>
    </row>
    <row r="516" ht="18.75" customHeight="1">
      <c r="B516" s="45"/>
    </row>
    <row r="517" ht="18.75" customHeight="1">
      <c r="B517" s="45"/>
    </row>
    <row r="518" ht="18.75" customHeight="1">
      <c r="B518" s="45"/>
    </row>
    <row r="519" ht="18.75" customHeight="1">
      <c r="B519" s="45"/>
    </row>
    <row r="520" ht="18.75" customHeight="1">
      <c r="B520" s="45"/>
    </row>
    <row r="521" ht="18.75" customHeight="1">
      <c r="B521" s="45"/>
    </row>
    <row r="522" ht="18.75" customHeight="1">
      <c r="B522" s="45"/>
    </row>
    <row r="523" ht="18.75" customHeight="1">
      <c r="B523" s="45"/>
    </row>
    <row r="524" ht="18.75" customHeight="1">
      <c r="B524" s="45"/>
    </row>
    <row r="525" ht="18.75" customHeight="1">
      <c r="B525" s="45"/>
    </row>
    <row r="526" ht="18.75" customHeight="1">
      <c r="B526" s="45"/>
    </row>
    <row r="527" ht="18.75" customHeight="1">
      <c r="B527" s="45"/>
    </row>
    <row r="528" ht="18.75" customHeight="1">
      <c r="B528" s="45"/>
    </row>
    <row r="529" ht="18.75" customHeight="1">
      <c r="B529" s="45"/>
    </row>
    <row r="530" ht="18.75" customHeight="1">
      <c r="B530" s="45"/>
    </row>
    <row r="531" ht="18.75" customHeight="1">
      <c r="B531" s="45"/>
    </row>
    <row r="532" ht="18.75" customHeight="1">
      <c r="B532" s="45"/>
    </row>
    <row r="533" ht="18.75" customHeight="1">
      <c r="B533" s="45"/>
    </row>
    <row r="534" ht="18.75" customHeight="1">
      <c r="B534" s="45"/>
    </row>
    <row r="535" ht="18.75" customHeight="1">
      <c r="B535" s="45"/>
    </row>
    <row r="536" ht="18.75" customHeight="1">
      <c r="B536" s="45"/>
    </row>
    <row r="537" ht="18.75" customHeight="1">
      <c r="B537" s="45"/>
    </row>
    <row r="538" ht="18.75" customHeight="1">
      <c r="B538" s="45"/>
    </row>
    <row r="539" ht="18.75" customHeight="1">
      <c r="B539" s="45"/>
    </row>
    <row r="540" ht="18.75" customHeight="1">
      <c r="B540" s="45"/>
    </row>
    <row r="541" ht="18.75" customHeight="1">
      <c r="B541" s="45"/>
    </row>
    <row r="542" ht="18.75" customHeight="1">
      <c r="B542" s="45"/>
    </row>
    <row r="543" ht="18.75" customHeight="1">
      <c r="B543" s="45"/>
    </row>
    <row r="544" ht="18.75" customHeight="1">
      <c r="B544" s="45"/>
    </row>
    <row r="545" ht="18.75" customHeight="1">
      <c r="B545" s="45"/>
    </row>
    <row r="546" ht="18.75" customHeight="1">
      <c r="B546" s="45"/>
    </row>
    <row r="547" ht="18.75" customHeight="1">
      <c r="B547" s="45"/>
    </row>
    <row r="548" ht="18.75" customHeight="1">
      <c r="B548" s="45"/>
    </row>
    <row r="549" ht="18.75" customHeight="1">
      <c r="B549" s="45"/>
    </row>
    <row r="550" ht="18.75" customHeight="1">
      <c r="B550" s="45"/>
    </row>
    <row r="551" ht="18.75" customHeight="1">
      <c r="B551" s="45"/>
    </row>
    <row r="552" ht="18.75" customHeight="1">
      <c r="B552" s="45"/>
    </row>
    <row r="553" ht="18.75" customHeight="1">
      <c r="B553" s="45"/>
    </row>
    <row r="554" ht="18.75" customHeight="1">
      <c r="B554" s="45"/>
    </row>
    <row r="555" ht="18.75" customHeight="1">
      <c r="B555" s="45"/>
    </row>
    <row r="556" ht="18.75" customHeight="1">
      <c r="B556" s="45"/>
    </row>
    <row r="557" ht="18.75" customHeight="1">
      <c r="B557" s="45"/>
    </row>
    <row r="558" ht="18.75" customHeight="1">
      <c r="B558" s="45"/>
    </row>
    <row r="559" ht="18.75" customHeight="1">
      <c r="B559" s="45"/>
    </row>
    <row r="560" ht="18.75" customHeight="1">
      <c r="B560" s="45"/>
    </row>
    <row r="561" ht="18.75" customHeight="1">
      <c r="B561" s="45"/>
    </row>
    <row r="562" ht="18.75" customHeight="1">
      <c r="B562" s="45"/>
    </row>
    <row r="563" ht="18.75" customHeight="1">
      <c r="B563" s="45"/>
    </row>
    <row r="564" ht="18.75" customHeight="1">
      <c r="B564" s="45"/>
    </row>
    <row r="565" ht="18.75" customHeight="1">
      <c r="B565" s="45"/>
    </row>
    <row r="566" ht="18.75" customHeight="1">
      <c r="B566" s="45"/>
    </row>
    <row r="567" ht="18.75" customHeight="1">
      <c r="B567" s="45"/>
    </row>
    <row r="568" ht="18.75" customHeight="1">
      <c r="B568" s="45"/>
    </row>
    <row r="569" ht="18.75" customHeight="1">
      <c r="B569" s="45"/>
    </row>
    <row r="570" ht="18.75" customHeight="1">
      <c r="B570" s="45"/>
    </row>
    <row r="571" ht="18.75" customHeight="1">
      <c r="B571" s="45"/>
    </row>
    <row r="572" ht="18.75" customHeight="1">
      <c r="B572" s="45"/>
    </row>
    <row r="573" ht="18.75" customHeight="1">
      <c r="B573" s="45"/>
    </row>
    <row r="574" ht="18.75" customHeight="1">
      <c r="B574" s="45"/>
    </row>
    <row r="575" ht="18.75" customHeight="1">
      <c r="B575" s="45"/>
    </row>
    <row r="576" ht="18.75" customHeight="1">
      <c r="B576" s="45"/>
    </row>
    <row r="577" ht="18.75" customHeight="1">
      <c r="B577" s="45"/>
    </row>
    <row r="578" ht="18.75" customHeight="1">
      <c r="B578" s="45"/>
    </row>
    <row r="579" ht="18.75" customHeight="1">
      <c r="B579" s="45"/>
    </row>
    <row r="580" ht="18.75" customHeight="1">
      <c r="B580" s="45"/>
    </row>
    <row r="581" ht="18.75" customHeight="1">
      <c r="B581" s="45"/>
    </row>
    <row r="582" ht="18.75" customHeight="1">
      <c r="B582" s="45"/>
    </row>
    <row r="583" ht="18.75" customHeight="1">
      <c r="B583" s="45"/>
    </row>
    <row r="584" ht="18.75" customHeight="1">
      <c r="B584" s="45"/>
    </row>
    <row r="585" ht="18.75" customHeight="1">
      <c r="B585" s="45"/>
    </row>
    <row r="586" ht="18.75" customHeight="1">
      <c r="B586" s="45"/>
    </row>
    <row r="587" ht="18.75" customHeight="1">
      <c r="B587" s="45"/>
    </row>
    <row r="588" ht="18.75" customHeight="1">
      <c r="B588" s="45"/>
    </row>
    <row r="589" ht="18.75" customHeight="1">
      <c r="B589" s="45"/>
    </row>
    <row r="590" ht="18.75" customHeight="1">
      <c r="B590" s="45"/>
    </row>
    <row r="591" ht="18.75" customHeight="1">
      <c r="B591" s="45"/>
    </row>
    <row r="592" ht="18.75" customHeight="1">
      <c r="B592" s="45"/>
    </row>
    <row r="593" ht="18.75" customHeight="1">
      <c r="B593" s="45"/>
    </row>
    <row r="594" ht="18.75" customHeight="1">
      <c r="B594" s="45"/>
    </row>
    <row r="595" ht="18.75" customHeight="1">
      <c r="B595" s="45"/>
    </row>
    <row r="596" ht="18.75" customHeight="1">
      <c r="B596" s="45"/>
    </row>
    <row r="597" ht="18.75" customHeight="1">
      <c r="B597" s="45"/>
    </row>
    <row r="598" ht="18.75" customHeight="1">
      <c r="B598" s="45"/>
    </row>
    <row r="599" ht="18.75" customHeight="1">
      <c r="B599" s="45"/>
    </row>
    <row r="600" ht="18.75" customHeight="1">
      <c r="B600" s="45"/>
    </row>
    <row r="601" ht="18.75" customHeight="1">
      <c r="B601" s="45"/>
    </row>
    <row r="602" ht="18.75" customHeight="1">
      <c r="B602" s="45"/>
    </row>
    <row r="603" ht="18.75" customHeight="1">
      <c r="B603" s="45"/>
    </row>
    <row r="604" ht="18.75" customHeight="1">
      <c r="B604" s="45"/>
    </row>
    <row r="605" ht="18.75" customHeight="1">
      <c r="B605" s="45"/>
    </row>
    <row r="606" ht="18.75" customHeight="1">
      <c r="B606" s="45"/>
    </row>
    <row r="607" ht="18.75" customHeight="1">
      <c r="B607" s="45"/>
    </row>
    <row r="608" ht="18.75" customHeight="1">
      <c r="B608" s="45"/>
    </row>
    <row r="609" ht="18.75" customHeight="1">
      <c r="B609" s="45"/>
    </row>
    <row r="610" ht="18.75" customHeight="1">
      <c r="B610" s="45"/>
    </row>
    <row r="611" ht="18.75" customHeight="1">
      <c r="B611" s="45"/>
    </row>
    <row r="612" ht="18.75" customHeight="1">
      <c r="B612" s="45"/>
    </row>
    <row r="613" ht="18.75" customHeight="1">
      <c r="B613" s="45"/>
    </row>
    <row r="614" ht="18.75" customHeight="1">
      <c r="B614" s="45"/>
    </row>
    <row r="615" ht="18.75" customHeight="1">
      <c r="B615" s="45"/>
    </row>
    <row r="616" ht="18.75" customHeight="1">
      <c r="B616" s="45"/>
    </row>
    <row r="617" ht="18.75" customHeight="1">
      <c r="B617" s="45"/>
    </row>
    <row r="618" ht="18.75" customHeight="1">
      <c r="B618" s="45"/>
    </row>
    <row r="619" ht="18.75" customHeight="1">
      <c r="B619" s="45"/>
    </row>
    <row r="620" ht="18.75" customHeight="1">
      <c r="B620" s="45"/>
    </row>
    <row r="621" ht="18.75" customHeight="1">
      <c r="B621" s="45"/>
    </row>
    <row r="622" ht="18.75" customHeight="1">
      <c r="B622" s="45"/>
    </row>
    <row r="623" ht="18.75" customHeight="1">
      <c r="B623" s="45"/>
    </row>
    <row r="624" ht="18.75" customHeight="1">
      <c r="B624" s="45"/>
    </row>
    <row r="625" ht="18.75" customHeight="1">
      <c r="B625" s="45"/>
    </row>
    <row r="626" ht="18.75" customHeight="1">
      <c r="B626" s="45"/>
    </row>
    <row r="627" ht="18.75" customHeight="1">
      <c r="B627" s="45"/>
    </row>
    <row r="628" ht="18.75" customHeight="1">
      <c r="B628" s="45"/>
    </row>
    <row r="629" ht="18.75" customHeight="1">
      <c r="B629" s="45"/>
    </row>
    <row r="630" ht="18.75" customHeight="1">
      <c r="B630" s="45"/>
    </row>
    <row r="631" ht="18.75" customHeight="1">
      <c r="B631" s="45"/>
    </row>
    <row r="632" ht="18.75" customHeight="1">
      <c r="B632" s="45"/>
    </row>
    <row r="633" ht="18.75" customHeight="1">
      <c r="B633" s="45"/>
    </row>
    <row r="634" ht="18.75" customHeight="1">
      <c r="B634" s="45"/>
    </row>
    <row r="635" ht="18.75" customHeight="1">
      <c r="B635" s="45"/>
    </row>
    <row r="636" ht="18.75" customHeight="1">
      <c r="B636" s="45"/>
    </row>
    <row r="637" ht="18.75" customHeight="1">
      <c r="B637" s="45"/>
    </row>
    <row r="638" ht="18.75" customHeight="1">
      <c r="B638" s="45"/>
    </row>
    <row r="639" ht="18.75" customHeight="1">
      <c r="B639" s="45"/>
    </row>
    <row r="640" ht="18.75" customHeight="1">
      <c r="B640" s="45"/>
    </row>
    <row r="641" ht="18.75" customHeight="1">
      <c r="B641" s="45"/>
    </row>
    <row r="642" ht="18.75" customHeight="1">
      <c r="B642" s="45"/>
    </row>
    <row r="643" ht="18.75" customHeight="1">
      <c r="B643" s="45"/>
    </row>
    <row r="644" ht="18.75" customHeight="1">
      <c r="B644" s="45"/>
    </row>
    <row r="645" ht="18.75" customHeight="1">
      <c r="B645" s="45"/>
    </row>
    <row r="646" ht="18.75" customHeight="1">
      <c r="B646" s="45"/>
    </row>
    <row r="647" ht="18.75" customHeight="1">
      <c r="B647" s="45"/>
    </row>
    <row r="648" ht="18.75" customHeight="1">
      <c r="B648" s="45"/>
    </row>
    <row r="649" ht="18.75" customHeight="1">
      <c r="B649" s="45"/>
    </row>
    <row r="650" ht="18.75" customHeight="1">
      <c r="B650" s="45"/>
    </row>
    <row r="651" ht="18.75" customHeight="1">
      <c r="B651" s="45"/>
    </row>
    <row r="652" ht="18.75" customHeight="1">
      <c r="B652" s="45"/>
    </row>
    <row r="653" ht="18.75" customHeight="1">
      <c r="B653" s="45"/>
    </row>
    <row r="654" ht="18.75" customHeight="1">
      <c r="B654" s="45"/>
    </row>
    <row r="655" ht="18.75" customHeight="1">
      <c r="B655" s="45"/>
    </row>
    <row r="656" ht="18.75" customHeight="1">
      <c r="B656" s="45"/>
    </row>
    <row r="657" ht="18.75" customHeight="1">
      <c r="B657" s="45"/>
    </row>
    <row r="658" ht="18.75" customHeight="1">
      <c r="B658" s="45"/>
    </row>
    <row r="659" ht="18.75" customHeight="1">
      <c r="B659" s="45"/>
    </row>
    <row r="660" ht="18.75" customHeight="1">
      <c r="B660" s="45"/>
    </row>
    <row r="661" ht="18.75" customHeight="1">
      <c r="B661" s="45"/>
    </row>
    <row r="662" ht="18.75" customHeight="1">
      <c r="B662" s="45"/>
    </row>
    <row r="663" ht="18.75" customHeight="1">
      <c r="B663" s="45"/>
    </row>
    <row r="664" ht="18.75" customHeight="1">
      <c r="B664" s="45"/>
    </row>
    <row r="665" ht="18.75" customHeight="1">
      <c r="B665" s="45"/>
    </row>
    <row r="666" ht="18.75" customHeight="1">
      <c r="B666" s="45"/>
    </row>
    <row r="667" ht="18.75" customHeight="1">
      <c r="B667" s="45"/>
    </row>
    <row r="668" ht="18.75" customHeight="1">
      <c r="B668" s="45"/>
    </row>
    <row r="669" ht="18.75" customHeight="1">
      <c r="B669" s="45"/>
    </row>
    <row r="670" ht="18.75" customHeight="1">
      <c r="B670" s="45"/>
    </row>
    <row r="671" ht="18.75" customHeight="1">
      <c r="B671" s="45"/>
    </row>
    <row r="672" ht="18.75" customHeight="1">
      <c r="B672" s="45"/>
    </row>
    <row r="673" ht="18.75" customHeight="1">
      <c r="B673" s="45"/>
    </row>
    <row r="674" ht="18.75" customHeight="1">
      <c r="B674" s="45"/>
    </row>
    <row r="675" ht="18.75" customHeight="1">
      <c r="B675" s="45"/>
    </row>
    <row r="676" ht="18.75" customHeight="1">
      <c r="B676" s="45"/>
    </row>
    <row r="677" ht="18.75" customHeight="1">
      <c r="B677" s="45"/>
    </row>
    <row r="678" ht="18.75" customHeight="1">
      <c r="B678" s="45"/>
    </row>
    <row r="679" ht="18.75" customHeight="1">
      <c r="B679" s="45"/>
    </row>
    <row r="680" ht="18.75" customHeight="1">
      <c r="B680" s="45"/>
    </row>
    <row r="681" ht="18.75" customHeight="1">
      <c r="B681" s="45"/>
    </row>
    <row r="682" ht="18.75" customHeight="1">
      <c r="B682" s="45"/>
    </row>
    <row r="683" ht="18.75" customHeight="1">
      <c r="B683" s="45"/>
    </row>
    <row r="684" ht="18.75" customHeight="1">
      <c r="B684" s="45"/>
    </row>
    <row r="685" ht="18.75" customHeight="1">
      <c r="B685" s="45"/>
    </row>
    <row r="686" ht="18.75" customHeight="1">
      <c r="B686" s="45"/>
    </row>
    <row r="687" ht="18.75" customHeight="1">
      <c r="B687" s="45"/>
    </row>
    <row r="688" ht="18.75" customHeight="1">
      <c r="B688" s="45"/>
    </row>
    <row r="689" ht="18.75" customHeight="1">
      <c r="B689" s="45"/>
    </row>
    <row r="690" ht="18.75" customHeight="1">
      <c r="B690" s="45"/>
    </row>
    <row r="691" ht="18.75" customHeight="1">
      <c r="B691" s="45"/>
    </row>
    <row r="692" ht="18.75" customHeight="1">
      <c r="B692" s="45"/>
    </row>
    <row r="693" ht="18.75" customHeight="1">
      <c r="B693" s="45"/>
    </row>
    <row r="694" ht="18.75" customHeight="1">
      <c r="B694" s="45"/>
    </row>
    <row r="695" ht="18.75" customHeight="1">
      <c r="B695" s="45"/>
    </row>
    <row r="696" ht="18.75" customHeight="1">
      <c r="B696" s="45"/>
    </row>
    <row r="697" ht="18.75" customHeight="1">
      <c r="B697" s="45"/>
    </row>
    <row r="698" ht="18.75" customHeight="1">
      <c r="B698" s="45"/>
    </row>
    <row r="699" ht="18.75" customHeight="1">
      <c r="B699" s="45"/>
    </row>
    <row r="700" ht="18.75" customHeight="1">
      <c r="B700" s="45"/>
    </row>
    <row r="701" ht="18.75" customHeight="1">
      <c r="B701" s="45"/>
    </row>
    <row r="702" ht="18.75" customHeight="1">
      <c r="B702" s="45"/>
    </row>
    <row r="703" ht="18.75" customHeight="1">
      <c r="B703" s="45"/>
    </row>
    <row r="704" ht="18.75" customHeight="1">
      <c r="B704" s="45"/>
    </row>
    <row r="705" ht="18.75" customHeight="1">
      <c r="B705" s="45"/>
    </row>
    <row r="706" ht="18.75" customHeight="1">
      <c r="B706" s="45"/>
    </row>
    <row r="707" ht="18.75" customHeight="1">
      <c r="B707" s="45"/>
    </row>
    <row r="708" ht="18.75" customHeight="1">
      <c r="B708" s="45"/>
    </row>
    <row r="709" ht="18.75" customHeight="1">
      <c r="B709" s="45"/>
    </row>
    <row r="710" ht="18.75" customHeight="1">
      <c r="B710" s="45"/>
    </row>
    <row r="711" ht="18.75" customHeight="1">
      <c r="B711" s="45"/>
    </row>
    <row r="712" ht="18.75" customHeight="1">
      <c r="B712" s="45"/>
    </row>
    <row r="713" ht="18.75" customHeight="1">
      <c r="B713" s="45"/>
    </row>
    <row r="714" ht="18.75" customHeight="1">
      <c r="B714" s="45"/>
    </row>
    <row r="715" ht="18.75" customHeight="1">
      <c r="B715" s="45"/>
    </row>
    <row r="716" ht="18.75" customHeight="1">
      <c r="B716" s="45"/>
    </row>
    <row r="717" ht="18.75" customHeight="1">
      <c r="B717" s="45"/>
    </row>
    <row r="718" ht="18.75" customHeight="1">
      <c r="B718" s="45"/>
    </row>
    <row r="719" ht="18.75" customHeight="1">
      <c r="B719" s="45"/>
    </row>
    <row r="720" ht="18.75" customHeight="1">
      <c r="B720" s="45"/>
    </row>
    <row r="721" ht="18.75" customHeight="1">
      <c r="B721" s="45"/>
    </row>
    <row r="722" ht="18.75" customHeight="1">
      <c r="B722" s="45"/>
    </row>
    <row r="723" ht="18.75" customHeight="1">
      <c r="B723" s="45"/>
    </row>
    <row r="724" ht="18.75" customHeight="1">
      <c r="B724" s="45"/>
    </row>
    <row r="725" ht="18.75" customHeight="1">
      <c r="B725" s="45"/>
    </row>
    <row r="726" ht="18.75" customHeight="1">
      <c r="B726" s="45"/>
    </row>
    <row r="727" ht="18.75" customHeight="1">
      <c r="B727" s="45"/>
    </row>
    <row r="728" ht="18.75" customHeight="1">
      <c r="B728" s="45"/>
    </row>
    <row r="729" ht="18.75" customHeight="1">
      <c r="B729" s="45"/>
    </row>
    <row r="730" ht="18.75" customHeight="1">
      <c r="B730" s="45"/>
    </row>
    <row r="731" ht="18.75" customHeight="1">
      <c r="B731" s="45"/>
    </row>
    <row r="732" ht="18.75" customHeight="1">
      <c r="B732" s="45"/>
    </row>
    <row r="733" ht="18.75" customHeight="1">
      <c r="B733" s="45"/>
    </row>
    <row r="734" ht="18.75" customHeight="1">
      <c r="B734" s="45"/>
    </row>
    <row r="735" ht="18.75" customHeight="1">
      <c r="B735" s="45"/>
    </row>
    <row r="736" ht="18.75" customHeight="1">
      <c r="B736" s="45"/>
    </row>
    <row r="737" ht="18.75" customHeight="1">
      <c r="B737" s="45"/>
    </row>
    <row r="738" ht="18.75" customHeight="1">
      <c r="B738" s="45"/>
    </row>
    <row r="739" ht="18.75" customHeight="1">
      <c r="B739" s="45"/>
    </row>
    <row r="740" ht="18.75" customHeight="1">
      <c r="B740" s="45"/>
    </row>
    <row r="741" ht="18.75" customHeight="1">
      <c r="B741" s="45"/>
    </row>
    <row r="742" ht="18.75" customHeight="1">
      <c r="B742" s="45"/>
    </row>
    <row r="743" ht="18.75" customHeight="1">
      <c r="B743" s="45"/>
    </row>
    <row r="744" ht="18.75" customHeight="1">
      <c r="B744" s="45"/>
    </row>
    <row r="745" ht="18.75" customHeight="1">
      <c r="B745" s="45"/>
    </row>
    <row r="746" ht="18.75" customHeight="1">
      <c r="B746" s="45"/>
    </row>
    <row r="747" ht="18.75" customHeight="1">
      <c r="B747" s="45"/>
    </row>
    <row r="748" ht="18.75" customHeight="1">
      <c r="B748" s="45"/>
    </row>
    <row r="749" ht="18.75" customHeight="1">
      <c r="B749" s="45"/>
    </row>
    <row r="750" ht="18.75" customHeight="1">
      <c r="B750" s="45"/>
    </row>
    <row r="751" ht="18.75" customHeight="1">
      <c r="B751" s="45"/>
    </row>
    <row r="752" ht="18.75" customHeight="1">
      <c r="B752" s="45"/>
    </row>
    <row r="753" ht="18.75" customHeight="1">
      <c r="B753" s="45"/>
    </row>
    <row r="754" ht="18.75" customHeight="1">
      <c r="B754" s="45"/>
    </row>
    <row r="755" ht="18.75" customHeight="1">
      <c r="B755" s="45"/>
    </row>
    <row r="756" ht="18.75" customHeight="1">
      <c r="B756" s="45"/>
    </row>
    <row r="757" ht="18.75" customHeight="1">
      <c r="B757" s="45"/>
    </row>
    <row r="758" ht="18.75" customHeight="1">
      <c r="B758" s="45"/>
    </row>
    <row r="759" ht="18.75" customHeight="1">
      <c r="B759" s="45"/>
    </row>
    <row r="760" ht="18.75" customHeight="1">
      <c r="B760" s="45"/>
    </row>
    <row r="761" ht="18.75" customHeight="1">
      <c r="B761" s="45"/>
    </row>
    <row r="762" ht="18.75" customHeight="1">
      <c r="B762" s="45"/>
    </row>
    <row r="763" ht="18.75" customHeight="1">
      <c r="B763" s="45"/>
    </row>
    <row r="764" ht="18.75" customHeight="1">
      <c r="B764" s="45"/>
    </row>
    <row r="765" ht="18.75" customHeight="1">
      <c r="B765" s="45"/>
    </row>
    <row r="766" ht="18.75" customHeight="1">
      <c r="B766" s="45"/>
    </row>
    <row r="767" ht="18.75" customHeight="1">
      <c r="B767" s="45"/>
    </row>
    <row r="768" ht="18.75" customHeight="1">
      <c r="B768" s="45"/>
    </row>
    <row r="769" ht="18.75" customHeight="1">
      <c r="B769" s="45"/>
    </row>
    <row r="770" ht="18.75" customHeight="1">
      <c r="B770" s="45"/>
    </row>
    <row r="771" ht="18.75" customHeight="1">
      <c r="B771" s="45"/>
    </row>
    <row r="772" ht="18.75" customHeight="1">
      <c r="B772" s="45"/>
    </row>
    <row r="773" ht="18.75" customHeight="1">
      <c r="B773" s="45"/>
    </row>
    <row r="774" ht="18.75" customHeight="1">
      <c r="B774" s="45"/>
    </row>
    <row r="775" ht="18.75" customHeight="1">
      <c r="B775" s="45"/>
    </row>
    <row r="776" ht="18.75" customHeight="1">
      <c r="B776" s="45"/>
    </row>
    <row r="777" ht="18.75" customHeight="1">
      <c r="B777" s="45"/>
    </row>
    <row r="778" ht="18.75" customHeight="1">
      <c r="B778" s="45"/>
    </row>
    <row r="779" ht="18.75" customHeight="1">
      <c r="B779" s="45"/>
    </row>
    <row r="780" ht="18.75" customHeight="1">
      <c r="B780" s="45"/>
    </row>
    <row r="781" ht="18.75" customHeight="1">
      <c r="B781" s="45"/>
    </row>
    <row r="782" ht="18.75" customHeight="1">
      <c r="B782" s="45"/>
    </row>
    <row r="783" ht="18.75" customHeight="1">
      <c r="B783" s="45"/>
    </row>
    <row r="784" ht="18.75" customHeight="1">
      <c r="B784" s="45"/>
    </row>
    <row r="785" ht="18.75" customHeight="1">
      <c r="B785" s="45"/>
    </row>
    <row r="786" ht="18.75" customHeight="1">
      <c r="B786" s="45"/>
    </row>
    <row r="787" ht="18.75" customHeight="1">
      <c r="B787" s="45"/>
    </row>
    <row r="788" ht="18.75" customHeight="1">
      <c r="B788" s="45"/>
    </row>
    <row r="789" ht="18.75" customHeight="1">
      <c r="B789" s="45"/>
    </row>
    <row r="790" ht="18.75" customHeight="1">
      <c r="B790" s="45"/>
    </row>
    <row r="791" ht="18.75" customHeight="1">
      <c r="B791" s="45"/>
    </row>
    <row r="792" ht="18.75" customHeight="1">
      <c r="B792" s="45"/>
    </row>
    <row r="793" ht="18.75" customHeight="1">
      <c r="B793" s="45"/>
    </row>
    <row r="794" ht="18.75" customHeight="1">
      <c r="B794" s="45"/>
    </row>
    <row r="795" ht="18.75" customHeight="1">
      <c r="B795" s="45"/>
    </row>
    <row r="796" ht="18.75" customHeight="1">
      <c r="B796" s="45"/>
    </row>
    <row r="797" ht="18.75" customHeight="1">
      <c r="B797" s="45"/>
    </row>
    <row r="798" ht="18.75" customHeight="1">
      <c r="B798" s="45"/>
    </row>
    <row r="799" ht="18.75" customHeight="1">
      <c r="B799" s="45"/>
    </row>
    <row r="800" ht="18.75" customHeight="1">
      <c r="B800" s="45"/>
    </row>
    <row r="801" ht="18.75" customHeight="1">
      <c r="B801" s="45"/>
    </row>
    <row r="802" ht="18.75" customHeight="1">
      <c r="B802" s="45"/>
    </row>
    <row r="803" ht="18.75" customHeight="1">
      <c r="B803" s="45"/>
    </row>
    <row r="804" ht="18.75" customHeight="1">
      <c r="B804" s="45"/>
    </row>
    <row r="805" ht="18.75" customHeight="1">
      <c r="B805" s="45"/>
    </row>
    <row r="806" ht="18.75" customHeight="1">
      <c r="B806" s="45"/>
    </row>
    <row r="807" ht="18.75" customHeight="1">
      <c r="B807" s="45"/>
    </row>
    <row r="808" ht="18.75" customHeight="1">
      <c r="B808" s="45"/>
    </row>
    <row r="809" ht="18.75" customHeight="1">
      <c r="B809" s="45"/>
    </row>
    <row r="810" ht="18.75" customHeight="1">
      <c r="B810" s="45"/>
    </row>
    <row r="811" ht="18.75" customHeight="1">
      <c r="B811" s="45"/>
    </row>
    <row r="812" ht="18.75" customHeight="1">
      <c r="B812" s="45"/>
    </row>
    <row r="813" ht="18.75" customHeight="1">
      <c r="B813" s="45"/>
    </row>
    <row r="814" ht="18.75" customHeight="1">
      <c r="B814" s="45"/>
    </row>
    <row r="815" ht="18.75" customHeight="1">
      <c r="B815" s="45"/>
    </row>
    <row r="816" ht="18.75" customHeight="1">
      <c r="B816" s="45"/>
    </row>
    <row r="817" ht="18.75" customHeight="1">
      <c r="B817" s="45"/>
    </row>
    <row r="818" ht="18.75" customHeight="1">
      <c r="B818" s="45"/>
    </row>
    <row r="819" ht="18.75" customHeight="1">
      <c r="B819" s="45"/>
    </row>
    <row r="820" ht="18.75" customHeight="1">
      <c r="B820" s="45"/>
    </row>
    <row r="821" ht="18.75" customHeight="1">
      <c r="B821" s="45"/>
    </row>
    <row r="822" ht="18.75" customHeight="1">
      <c r="B822" s="45"/>
    </row>
    <row r="823" ht="18.75" customHeight="1">
      <c r="B823" s="45"/>
    </row>
    <row r="824" ht="18.75" customHeight="1">
      <c r="B824" s="45"/>
    </row>
    <row r="825" ht="18.75" customHeight="1">
      <c r="B825" s="45"/>
    </row>
    <row r="826" ht="18.75" customHeight="1">
      <c r="B826" s="45"/>
    </row>
    <row r="827" ht="18.75" customHeight="1">
      <c r="B827" s="45"/>
    </row>
    <row r="828" ht="18.75" customHeight="1">
      <c r="B828" s="45"/>
    </row>
    <row r="829" ht="18.75" customHeight="1">
      <c r="B829" s="45"/>
    </row>
    <row r="830" ht="18.75" customHeight="1">
      <c r="B830" s="45"/>
    </row>
    <row r="831" ht="18.75" customHeight="1">
      <c r="B831" s="45"/>
    </row>
    <row r="832" ht="18.75" customHeight="1">
      <c r="B832" s="45"/>
    </row>
    <row r="833" ht="18.75" customHeight="1">
      <c r="B833" s="45"/>
    </row>
    <row r="834" ht="18.75" customHeight="1">
      <c r="B834" s="45"/>
    </row>
    <row r="835" ht="18.75" customHeight="1">
      <c r="B835" s="45"/>
    </row>
    <row r="836" ht="18.75" customHeight="1">
      <c r="B836" s="45"/>
    </row>
    <row r="837" ht="18.75" customHeight="1">
      <c r="B837" s="45"/>
    </row>
    <row r="838" ht="18.75" customHeight="1">
      <c r="B838" s="45"/>
    </row>
    <row r="839" ht="18.75" customHeight="1">
      <c r="B839" s="45"/>
    </row>
    <row r="840" ht="18.75" customHeight="1">
      <c r="B840" s="45"/>
    </row>
    <row r="841" ht="18.75" customHeight="1">
      <c r="B841" s="45"/>
    </row>
    <row r="842" ht="18.75" customHeight="1">
      <c r="B842" s="45"/>
    </row>
    <row r="843" ht="18.75" customHeight="1">
      <c r="B843" s="45"/>
    </row>
    <row r="844" ht="18.75" customHeight="1">
      <c r="B844" s="45"/>
    </row>
    <row r="845" ht="18.75" customHeight="1">
      <c r="B845" s="45"/>
    </row>
    <row r="846" ht="18.75" customHeight="1">
      <c r="B846" s="45"/>
    </row>
    <row r="847" ht="18.75" customHeight="1">
      <c r="B847" s="45"/>
    </row>
    <row r="848" ht="18.75" customHeight="1">
      <c r="B848" s="45"/>
    </row>
    <row r="849" ht="18.75" customHeight="1">
      <c r="B849" s="45"/>
    </row>
    <row r="850" ht="18.75" customHeight="1">
      <c r="B850" s="45"/>
    </row>
    <row r="851" ht="18.75" customHeight="1">
      <c r="B851" s="45"/>
    </row>
    <row r="852" ht="18.75" customHeight="1">
      <c r="B852" s="45"/>
    </row>
    <row r="853" ht="18.75" customHeight="1">
      <c r="B853" s="45"/>
    </row>
    <row r="854" ht="18.75" customHeight="1">
      <c r="B854" s="45"/>
    </row>
    <row r="855" ht="18.75" customHeight="1">
      <c r="B855" s="45"/>
    </row>
    <row r="856" ht="18.75" customHeight="1">
      <c r="B856" s="45"/>
    </row>
    <row r="857" ht="18.75" customHeight="1">
      <c r="B857" s="45"/>
    </row>
    <row r="858" ht="18.75" customHeight="1">
      <c r="B858" s="45"/>
    </row>
    <row r="859" ht="18.75" customHeight="1">
      <c r="B859" s="45"/>
    </row>
    <row r="860" ht="18.75" customHeight="1">
      <c r="B860" s="45"/>
    </row>
    <row r="861" ht="18.75" customHeight="1">
      <c r="B861" s="45"/>
    </row>
    <row r="862" ht="18.75" customHeight="1">
      <c r="B862" s="45"/>
    </row>
    <row r="863" ht="18.75" customHeight="1">
      <c r="B863" s="45"/>
    </row>
    <row r="864" ht="18.75" customHeight="1">
      <c r="B864" s="45"/>
    </row>
    <row r="865" ht="18.75" customHeight="1">
      <c r="B865" s="45"/>
    </row>
    <row r="866" ht="18.75" customHeight="1">
      <c r="B866" s="45"/>
    </row>
    <row r="867" ht="18.75" customHeight="1">
      <c r="B867" s="45"/>
    </row>
    <row r="868" ht="18.75" customHeight="1">
      <c r="B868" s="45"/>
    </row>
    <row r="869" ht="18.75" customHeight="1">
      <c r="B869" s="45"/>
    </row>
    <row r="870" ht="18.75" customHeight="1">
      <c r="B870" s="45"/>
    </row>
    <row r="871" ht="18.75" customHeight="1">
      <c r="B871" s="45"/>
    </row>
    <row r="872" ht="18.75" customHeight="1">
      <c r="B872" s="45"/>
    </row>
    <row r="873" ht="18.75" customHeight="1">
      <c r="B873" s="45"/>
    </row>
    <row r="874" ht="18.75" customHeight="1">
      <c r="B874" s="45"/>
    </row>
    <row r="875" ht="18.75" customHeight="1">
      <c r="B875" s="45"/>
    </row>
    <row r="876" ht="18.75" customHeight="1">
      <c r="B876" s="45"/>
    </row>
    <row r="877" ht="18.75" customHeight="1">
      <c r="B877" s="45"/>
    </row>
    <row r="878" ht="18.75" customHeight="1">
      <c r="B878" s="45"/>
    </row>
    <row r="879" ht="18.75" customHeight="1">
      <c r="B879" s="45"/>
    </row>
    <row r="880" ht="18.75" customHeight="1">
      <c r="B880" s="45"/>
    </row>
    <row r="881" ht="18.75" customHeight="1">
      <c r="B881" s="45"/>
    </row>
    <row r="882" ht="18.75" customHeight="1">
      <c r="B882" s="45"/>
    </row>
    <row r="883" ht="18.75" customHeight="1">
      <c r="B883" s="45"/>
    </row>
    <row r="884" ht="18.75" customHeight="1">
      <c r="B884" s="45"/>
    </row>
    <row r="885" ht="18.75" customHeight="1">
      <c r="B885" s="45"/>
    </row>
    <row r="886" ht="18.75" customHeight="1">
      <c r="B886" s="45"/>
    </row>
    <row r="887" ht="18.75" customHeight="1">
      <c r="B887" s="45"/>
    </row>
    <row r="888" ht="18.75" customHeight="1">
      <c r="B888" s="45"/>
    </row>
    <row r="889" ht="18.75" customHeight="1">
      <c r="B889" s="45"/>
    </row>
    <row r="890" ht="18.75" customHeight="1">
      <c r="B890" s="45"/>
    </row>
    <row r="891" ht="18.75" customHeight="1">
      <c r="B891" s="45"/>
    </row>
    <row r="892" ht="18.75" customHeight="1">
      <c r="B892" s="45"/>
    </row>
    <row r="893" ht="18.75" customHeight="1">
      <c r="B893" s="45"/>
    </row>
    <row r="894" ht="18.75" customHeight="1">
      <c r="B894" s="45"/>
    </row>
    <row r="895" ht="18.75" customHeight="1">
      <c r="B895" s="45"/>
    </row>
    <row r="896" ht="18.75" customHeight="1">
      <c r="B896" s="45"/>
    </row>
    <row r="897" ht="18.75" customHeight="1">
      <c r="B897" s="45"/>
    </row>
    <row r="898" ht="18.75" customHeight="1">
      <c r="B898" s="45"/>
    </row>
    <row r="899" ht="18.75" customHeight="1">
      <c r="B899" s="45"/>
    </row>
    <row r="900" ht="18.75" customHeight="1">
      <c r="B900" s="45"/>
    </row>
    <row r="901" ht="18.75" customHeight="1">
      <c r="B901" s="45"/>
    </row>
    <row r="902" ht="18.75" customHeight="1">
      <c r="B902" s="45"/>
    </row>
    <row r="903" ht="18.75" customHeight="1">
      <c r="B903" s="45"/>
    </row>
    <row r="904" ht="18.75" customHeight="1">
      <c r="B904" s="45"/>
    </row>
    <row r="905" ht="18.75" customHeight="1">
      <c r="B905" s="45"/>
    </row>
    <row r="906" ht="18.75" customHeight="1">
      <c r="B906" s="45"/>
    </row>
    <row r="907" ht="18.75" customHeight="1">
      <c r="B907" s="45"/>
    </row>
    <row r="908" ht="18.75" customHeight="1">
      <c r="B908" s="45"/>
    </row>
    <row r="909" ht="18.75" customHeight="1">
      <c r="B909" s="45"/>
    </row>
    <row r="910" ht="18.75" customHeight="1">
      <c r="B910" s="45"/>
    </row>
    <row r="911" ht="18.75" customHeight="1">
      <c r="B911" s="45"/>
    </row>
    <row r="912" ht="18.75" customHeight="1">
      <c r="B912" s="45"/>
    </row>
    <row r="913" ht="18.75" customHeight="1">
      <c r="B913" s="45"/>
    </row>
    <row r="914" ht="18.75" customHeight="1">
      <c r="B914" s="45"/>
    </row>
    <row r="915" ht="18.75" customHeight="1">
      <c r="B915" s="45"/>
    </row>
    <row r="916" ht="18.75" customHeight="1">
      <c r="B916" s="45"/>
    </row>
    <row r="917" ht="18.75" customHeight="1">
      <c r="B917" s="45"/>
    </row>
    <row r="918" ht="18.75" customHeight="1">
      <c r="B918" s="45"/>
    </row>
    <row r="919" ht="18.75" customHeight="1">
      <c r="B919" s="45"/>
    </row>
    <row r="920" ht="18.75" customHeight="1">
      <c r="B920" s="45"/>
    </row>
    <row r="921" ht="18.75" customHeight="1">
      <c r="B921" s="45"/>
    </row>
    <row r="922" ht="18.75" customHeight="1">
      <c r="B922" s="45"/>
    </row>
    <row r="923" ht="18.75" customHeight="1">
      <c r="B923" s="45"/>
    </row>
    <row r="924" ht="18.75" customHeight="1">
      <c r="B924" s="45"/>
    </row>
    <row r="925" ht="18.75" customHeight="1">
      <c r="B925" s="45"/>
    </row>
    <row r="926" ht="18.75" customHeight="1">
      <c r="B926" s="45"/>
    </row>
    <row r="927" ht="18.75" customHeight="1">
      <c r="B927" s="45"/>
    </row>
    <row r="928" ht="18.75" customHeight="1">
      <c r="B928" s="45"/>
    </row>
    <row r="929" ht="18.75" customHeight="1">
      <c r="B929" s="45"/>
    </row>
    <row r="930" ht="18.75" customHeight="1">
      <c r="B930" s="45"/>
    </row>
    <row r="931" ht="18.75" customHeight="1">
      <c r="B931" s="45"/>
    </row>
    <row r="932" ht="18.75" customHeight="1">
      <c r="B932" s="45"/>
    </row>
    <row r="933" ht="18.75" customHeight="1">
      <c r="B933" s="45"/>
    </row>
    <row r="934" ht="18.75" customHeight="1">
      <c r="B934" s="45"/>
    </row>
    <row r="935" ht="18.75" customHeight="1">
      <c r="B935" s="45"/>
    </row>
    <row r="936" ht="18.75" customHeight="1">
      <c r="B936" s="45"/>
    </row>
    <row r="937" ht="18.75" customHeight="1">
      <c r="B937" s="45"/>
    </row>
    <row r="938" ht="18.75" customHeight="1">
      <c r="B938" s="45"/>
    </row>
    <row r="939" ht="18.75" customHeight="1">
      <c r="B939" s="45"/>
    </row>
    <row r="940" ht="18.75" customHeight="1">
      <c r="B940" s="45"/>
    </row>
    <row r="941" ht="18.75" customHeight="1">
      <c r="B941" s="45"/>
    </row>
    <row r="942" ht="18.75" customHeight="1">
      <c r="B942" s="45"/>
    </row>
    <row r="943" ht="18.75" customHeight="1">
      <c r="B943" s="45"/>
    </row>
    <row r="944" ht="18.75" customHeight="1">
      <c r="B944" s="45"/>
    </row>
    <row r="945" ht="18.75" customHeight="1">
      <c r="B945" s="45"/>
    </row>
    <row r="946" ht="18.75" customHeight="1">
      <c r="B946" s="45"/>
    </row>
    <row r="947" ht="18.75" customHeight="1">
      <c r="B947" s="45"/>
    </row>
    <row r="948" ht="18.75" customHeight="1">
      <c r="B948" s="45"/>
    </row>
    <row r="949" ht="18.75" customHeight="1">
      <c r="B949" s="45"/>
    </row>
    <row r="950" ht="18.75" customHeight="1">
      <c r="B950" s="45"/>
    </row>
    <row r="951" ht="18.75" customHeight="1">
      <c r="B951" s="45"/>
    </row>
    <row r="952" ht="18.75" customHeight="1">
      <c r="B952" s="45"/>
    </row>
    <row r="953" ht="18.75" customHeight="1">
      <c r="B953" s="45"/>
    </row>
    <row r="954" ht="18.75" customHeight="1">
      <c r="B954" s="45"/>
    </row>
    <row r="955" ht="18.75" customHeight="1">
      <c r="B955" s="45"/>
    </row>
    <row r="956" ht="18.75" customHeight="1">
      <c r="B956" s="45"/>
    </row>
    <row r="957" ht="18.75" customHeight="1">
      <c r="B957" s="45"/>
    </row>
    <row r="958" ht="18.75" customHeight="1">
      <c r="B958" s="45"/>
    </row>
    <row r="959" ht="18.75" customHeight="1">
      <c r="B959" s="45"/>
    </row>
    <row r="960" ht="18.75" customHeight="1">
      <c r="B960" s="45"/>
    </row>
    <row r="961" ht="18.75" customHeight="1">
      <c r="B961" s="45"/>
    </row>
    <row r="962" ht="18.75" customHeight="1">
      <c r="B962" s="45"/>
    </row>
    <row r="963" ht="18.75" customHeight="1">
      <c r="B963" s="45"/>
    </row>
    <row r="964" ht="18.75" customHeight="1">
      <c r="B964" s="45"/>
    </row>
    <row r="965" ht="18.75" customHeight="1">
      <c r="B965" s="45"/>
    </row>
    <row r="966" ht="18.75" customHeight="1">
      <c r="B966" s="45"/>
    </row>
    <row r="967" ht="18.75" customHeight="1">
      <c r="B967" s="45"/>
    </row>
    <row r="968" ht="18.75" customHeight="1">
      <c r="B968" s="45"/>
    </row>
    <row r="969" ht="18.75" customHeight="1">
      <c r="B969" s="45"/>
    </row>
    <row r="970" ht="18.75" customHeight="1">
      <c r="B970" s="45"/>
    </row>
    <row r="971" ht="18.75" customHeight="1">
      <c r="B971" s="45"/>
    </row>
    <row r="972" ht="18.75" customHeight="1">
      <c r="B972" s="45"/>
    </row>
    <row r="973" ht="18.75" customHeight="1">
      <c r="B973" s="45"/>
    </row>
    <row r="974" ht="18.75" customHeight="1">
      <c r="B974" s="45"/>
    </row>
    <row r="975" ht="18.75" customHeight="1">
      <c r="B975" s="45"/>
    </row>
    <row r="976" ht="18.75" customHeight="1">
      <c r="B976" s="45"/>
    </row>
    <row r="977" ht="18.75" customHeight="1">
      <c r="B977" s="45"/>
    </row>
    <row r="978" ht="18.75" customHeight="1">
      <c r="B978" s="45"/>
    </row>
    <row r="979" ht="18.75" customHeight="1">
      <c r="B979" s="45"/>
    </row>
    <row r="980" ht="18.75" customHeight="1">
      <c r="B980" s="45"/>
    </row>
    <row r="981" ht="18.75" customHeight="1">
      <c r="B981" s="45"/>
    </row>
    <row r="982" ht="18.75" customHeight="1">
      <c r="B982" s="45"/>
    </row>
    <row r="983" ht="18.75" customHeight="1">
      <c r="B983" s="45"/>
    </row>
    <row r="984" ht="18.75" customHeight="1">
      <c r="B984" s="45"/>
    </row>
    <row r="985" ht="18.75" customHeight="1">
      <c r="B985" s="45"/>
    </row>
    <row r="986" ht="18.75" customHeight="1">
      <c r="B986" s="45"/>
    </row>
    <row r="987" ht="18.75" customHeight="1">
      <c r="B987" s="45"/>
    </row>
    <row r="988" ht="18.75" customHeight="1">
      <c r="B988" s="45"/>
    </row>
    <row r="989" ht="18.75" customHeight="1">
      <c r="B989" s="45"/>
    </row>
    <row r="990" ht="18.75" customHeight="1">
      <c r="B990" s="45"/>
    </row>
    <row r="991" ht="18.75" customHeight="1">
      <c r="B991" s="45"/>
    </row>
    <row r="992" ht="18.75" customHeight="1">
      <c r="B992" s="45"/>
    </row>
    <row r="993" ht="18.75" customHeight="1">
      <c r="B993" s="45"/>
    </row>
    <row r="994" ht="18.75" customHeight="1">
      <c r="B994" s="45"/>
    </row>
    <row r="995" ht="18.75" customHeight="1">
      <c r="B995" s="45"/>
    </row>
    <row r="996" ht="18.75" customHeight="1">
      <c r="B996" s="45"/>
    </row>
    <row r="997" ht="18.75" customHeight="1">
      <c r="B997" s="45"/>
    </row>
    <row r="998" ht="18.75" customHeight="1">
      <c r="B998" s="45"/>
    </row>
    <row r="999" ht="18.75" customHeight="1">
      <c r="B999" s="45"/>
    </row>
    <row r="1000" ht="18.75" customHeight="1">
      <c r="B1000" s="45"/>
    </row>
  </sheetData>
  <mergeCells count="6">
    <mergeCell ref="A7:A8"/>
    <mergeCell ref="C7:C8"/>
    <mergeCell ref="D7:D8"/>
    <mergeCell ref="A18:A19"/>
    <mergeCell ref="D18:D19"/>
    <mergeCell ref="E18:E19"/>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29"/>
    <col customWidth="1" min="2" max="2" width="14.14"/>
    <col customWidth="1" min="3" max="3" width="17.0"/>
    <col customWidth="1" min="4" max="5" width="14.14"/>
    <col customWidth="1" min="6" max="6" width="16.0"/>
    <col customWidth="1" min="7" max="7" width="20.86"/>
    <col customWidth="1" min="8" max="8" width="15.0"/>
    <col customWidth="1" min="9" max="9" width="16.43"/>
    <col customWidth="1" min="10" max="10" width="22.29"/>
    <col customWidth="1" min="11" max="11" width="22.14"/>
    <col customWidth="1" min="12" max="26" width="8.71"/>
  </cols>
  <sheetData>
    <row r="1">
      <c r="A1" s="115" t="s">
        <v>250</v>
      </c>
      <c r="B1" s="116" t="s">
        <v>3</v>
      </c>
      <c r="C1" s="116" t="s">
        <v>128</v>
      </c>
      <c r="D1" s="116" t="s">
        <v>251</v>
      </c>
      <c r="E1" s="116" t="s">
        <v>9</v>
      </c>
      <c r="F1" s="116" t="s">
        <v>252</v>
      </c>
      <c r="G1" s="116" t="s">
        <v>253</v>
      </c>
      <c r="H1" s="116" t="s">
        <v>5</v>
      </c>
      <c r="I1" s="115" t="s">
        <v>6</v>
      </c>
      <c r="J1" s="115" t="s">
        <v>254</v>
      </c>
      <c r="K1" s="115" t="s">
        <v>255</v>
      </c>
      <c r="L1" s="115"/>
      <c r="M1" s="115"/>
      <c r="N1" s="115"/>
      <c r="O1" s="115"/>
      <c r="P1" s="115"/>
      <c r="Q1" s="115"/>
      <c r="R1" s="115"/>
      <c r="S1" s="115"/>
      <c r="T1" s="115"/>
      <c r="U1" s="115"/>
      <c r="V1" s="115"/>
      <c r="W1" s="115"/>
      <c r="X1" s="115"/>
      <c r="Y1" s="115"/>
      <c r="Z1" s="115"/>
    </row>
    <row r="2">
      <c r="A2" s="117" t="s">
        <v>256</v>
      </c>
      <c r="B2" s="45" t="s">
        <v>257</v>
      </c>
      <c r="C2" s="45">
        <f t="shared" ref="C2:C4" si="1">F2+G2+H2</f>
        <v>8000</v>
      </c>
      <c r="D2" s="118">
        <v>45565.0</v>
      </c>
      <c r="E2" s="45" t="s">
        <v>258</v>
      </c>
      <c r="F2" s="45">
        <v>6000.0</v>
      </c>
      <c r="G2" s="45"/>
      <c r="H2" s="45">
        <v>2000.0</v>
      </c>
      <c r="J2" s="82">
        <v>8000.0</v>
      </c>
      <c r="K2" s="84"/>
      <c r="L2" s="100"/>
      <c r="M2" s="100"/>
      <c r="N2" s="100"/>
    </row>
    <row r="3">
      <c r="A3" s="119" t="s">
        <v>259</v>
      </c>
      <c r="B3" s="45" t="s">
        <v>260</v>
      </c>
      <c r="C3" s="45">
        <f t="shared" si="1"/>
        <v>2500</v>
      </c>
      <c r="D3" s="45" t="s">
        <v>24</v>
      </c>
      <c r="E3" s="45"/>
      <c r="F3" s="45">
        <v>2000.0</v>
      </c>
      <c r="G3" s="45"/>
      <c r="H3" s="45">
        <v>500.0</v>
      </c>
      <c r="J3" s="86">
        <v>2000.0</v>
      </c>
      <c r="K3" s="88">
        <v>40000.0</v>
      </c>
      <c r="L3" s="102"/>
      <c r="M3" s="102" t="s">
        <v>123</v>
      </c>
      <c r="N3" s="102" t="s">
        <v>261</v>
      </c>
    </row>
    <row r="4">
      <c r="A4" s="119" t="s">
        <v>262</v>
      </c>
      <c r="B4" s="45" t="s">
        <v>260</v>
      </c>
      <c r="C4" s="45">
        <f t="shared" si="1"/>
        <v>45000</v>
      </c>
      <c r="D4" s="45" t="s">
        <v>24</v>
      </c>
      <c r="E4" s="45"/>
      <c r="F4" s="45">
        <v>40000.0</v>
      </c>
      <c r="G4" s="45"/>
      <c r="H4" s="45">
        <v>5000.0</v>
      </c>
      <c r="I4" s="96" t="s">
        <v>263</v>
      </c>
      <c r="J4" s="86"/>
      <c r="K4" s="88"/>
      <c r="L4" s="102"/>
      <c r="M4" s="102"/>
      <c r="N4" s="102"/>
    </row>
    <row r="5">
      <c r="A5" s="117" t="s">
        <v>264</v>
      </c>
      <c r="B5" s="45" t="s">
        <v>260</v>
      </c>
      <c r="D5" s="45" t="s">
        <v>24</v>
      </c>
      <c r="E5" s="45"/>
      <c r="F5" s="45">
        <v>2000.0</v>
      </c>
      <c r="G5" s="45" t="s">
        <v>265</v>
      </c>
      <c r="H5" s="45">
        <v>2500.0</v>
      </c>
      <c r="I5" s="96" t="s">
        <v>266</v>
      </c>
      <c r="J5" s="82" t="s">
        <v>267</v>
      </c>
      <c r="K5" s="84"/>
      <c r="L5" s="100"/>
      <c r="M5" s="100"/>
      <c r="N5" s="100"/>
    </row>
    <row r="6">
      <c r="A6" s="119" t="s">
        <v>268</v>
      </c>
      <c r="B6" s="45" t="s">
        <v>260</v>
      </c>
      <c r="C6" s="45">
        <f t="shared" ref="C6:C7" si="2">F6+G6+H6</f>
        <v>16000</v>
      </c>
      <c r="D6" s="45" t="s">
        <v>24</v>
      </c>
      <c r="E6" s="45"/>
      <c r="F6" s="45">
        <v>5000.0</v>
      </c>
      <c r="G6" s="45">
        <v>10000.0</v>
      </c>
      <c r="H6" s="45">
        <v>1000.0</v>
      </c>
      <c r="I6" s="96" t="s">
        <v>266</v>
      </c>
      <c r="J6" s="86" t="s">
        <v>269</v>
      </c>
      <c r="K6" s="88"/>
      <c r="L6" s="102"/>
      <c r="M6" s="102"/>
      <c r="N6" s="102"/>
    </row>
    <row r="7">
      <c r="A7" s="117" t="s">
        <v>270</v>
      </c>
      <c r="B7" s="45" t="s">
        <v>260</v>
      </c>
      <c r="C7" s="45" t="str">
        <f t="shared" si="2"/>
        <v>#VALUE!</v>
      </c>
      <c r="D7" s="45" t="s">
        <v>24</v>
      </c>
      <c r="E7" s="45"/>
      <c r="F7" s="45"/>
      <c r="G7" s="45" t="s">
        <v>271</v>
      </c>
      <c r="H7" s="45"/>
      <c r="J7" s="82" t="s">
        <v>272</v>
      </c>
      <c r="K7" s="84"/>
      <c r="L7" s="100"/>
      <c r="M7" s="100"/>
      <c r="N7" s="100"/>
    </row>
    <row r="8">
      <c r="A8" s="119" t="s">
        <v>273</v>
      </c>
      <c r="B8" s="45" t="s">
        <v>260</v>
      </c>
      <c r="C8" s="45">
        <v>2500.0</v>
      </c>
      <c r="D8" s="45" t="s">
        <v>24</v>
      </c>
      <c r="E8" s="45"/>
      <c r="G8" s="45">
        <v>900.0</v>
      </c>
      <c r="H8" s="45">
        <v>600.0</v>
      </c>
      <c r="J8" s="86" t="s">
        <v>274</v>
      </c>
      <c r="K8" s="88"/>
      <c r="L8" s="102" t="s">
        <v>275</v>
      </c>
      <c r="M8" s="102" t="s">
        <v>124</v>
      </c>
      <c r="N8" s="102" t="s">
        <v>276</v>
      </c>
    </row>
    <row r="9">
      <c r="A9" s="119" t="s">
        <v>277</v>
      </c>
      <c r="B9" s="45" t="s">
        <v>260</v>
      </c>
      <c r="C9" s="45">
        <f>H9+G9+F9</f>
        <v>1500</v>
      </c>
      <c r="D9" s="45" t="s">
        <v>24</v>
      </c>
      <c r="E9" s="45"/>
      <c r="G9" s="45">
        <v>900.0</v>
      </c>
      <c r="H9" s="45">
        <v>600.0</v>
      </c>
      <c r="J9" s="86"/>
      <c r="K9" s="88"/>
      <c r="L9" s="102"/>
      <c r="M9" s="102"/>
      <c r="N9" s="102"/>
    </row>
    <row r="10">
      <c r="A10" s="117" t="s">
        <v>278</v>
      </c>
      <c r="B10" s="45" t="s">
        <v>257</v>
      </c>
      <c r="C10" s="45">
        <f t="shared" ref="C10:C14" si="3">F10+G10+H10</f>
        <v>1250</v>
      </c>
      <c r="D10" s="120">
        <v>11202.0</v>
      </c>
      <c r="E10" s="45">
        <v>5000.0</v>
      </c>
      <c r="F10" s="45">
        <v>500.0</v>
      </c>
      <c r="G10" s="45"/>
      <c r="H10" s="45">
        <v>750.0</v>
      </c>
      <c r="J10" s="82">
        <v>300.0</v>
      </c>
      <c r="K10" s="84"/>
      <c r="L10" s="100"/>
      <c r="M10" s="100"/>
      <c r="N10" s="100"/>
    </row>
    <row r="11">
      <c r="A11" s="119" t="s">
        <v>279</v>
      </c>
      <c r="B11" s="45" t="s">
        <v>260</v>
      </c>
      <c r="C11" s="45">
        <f t="shared" si="3"/>
        <v>6000</v>
      </c>
      <c r="D11" s="45" t="s">
        <v>24</v>
      </c>
      <c r="E11" s="45"/>
      <c r="F11" s="45">
        <v>6000.0</v>
      </c>
      <c r="G11" s="45"/>
      <c r="H11" s="45"/>
      <c r="J11" s="86" t="s">
        <v>280</v>
      </c>
      <c r="K11" s="88"/>
      <c r="L11" s="102">
        <v>6000.0</v>
      </c>
      <c r="M11" s="102"/>
      <c r="N11" s="102"/>
    </row>
    <row r="12">
      <c r="A12" s="117" t="s">
        <v>281</v>
      </c>
      <c r="B12" s="45" t="s">
        <v>260</v>
      </c>
      <c r="C12" s="45">
        <f t="shared" si="3"/>
        <v>1200</v>
      </c>
      <c r="D12" s="45" t="s">
        <v>24</v>
      </c>
      <c r="E12" s="45"/>
      <c r="F12" s="45">
        <v>1000.0</v>
      </c>
      <c r="G12" s="45"/>
      <c r="H12" s="45">
        <v>200.0</v>
      </c>
      <c r="J12" s="82" t="s">
        <v>282</v>
      </c>
      <c r="K12" s="84"/>
      <c r="L12" s="100"/>
      <c r="M12" s="100"/>
      <c r="N12" s="100"/>
    </row>
    <row r="13">
      <c r="A13" s="117" t="s">
        <v>283</v>
      </c>
      <c r="B13" s="45" t="s">
        <v>260</v>
      </c>
      <c r="C13" s="45">
        <f t="shared" si="3"/>
        <v>1200</v>
      </c>
      <c r="D13" s="45" t="s">
        <v>24</v>
      </c>
      <c r="E13" s="45"/>
      <c r="F13" s="45">
        <v>1000.0</v>
      </c>
      <c r="G13" s="45"/>
      <c r="H13" s="45">
        <v>200.0</v>
      </c>
      <c r="J13" s="82"/>
      <c r="K13" s="84"/>
      <c r="L13" s="100"/>
      <c r="M13" s="100"/>
      <c r="N13" s="100"/>
    </row>
    <row r="14">
      <c r="A14" s="119" t="s">
        <v>284</v>
      </c>
      <c r="B14" s="45" t="s">
        <v>260</v>
      </c>
      <c r="C14" s="45">
        <f t="shared" si="3"/>
        <v>1200</v>
      </c>
      <c r="D14" s="45" t="s">
        <v>24</v>
      </c>
      <c r="E14" s="45"/>
      <c r="F14" s="45">
        <v>1000.0</v>
      </c>
      <c r="G14" s="45"/>
      <c r="H14" s="45">
        <v>200.0</v>
      </c>
      <c r="J14" s="86">
        <v>1000.0</v>
      </c>
      <c r="K14" s="88"/>
      <c r="L14" s="102"/>
      <c r="M14" s="102"/>
      <c r="N14" s="102"/>
    </row>
    <row r="15">
      <c r="A15" s="99" t="s">
        <v>285</v>
      </c>
      <c r="B15" s="45" t="s">
        <v>257</v>
      </c>
      <c r="C15" s="45">
        <v>5500.0</v>
      </c>
      <c r="D15" s="45"/>
      <c r="E15" s="45">
        <v>5000.0</v>
      </c>
      <c r="F15" s="45">
        <v>500.0</v>
      </c>
      <c r="G15" s="45"/>
      <c r="H15" s="45">
        <v>200.0</v>
      </c>
      <c r="J15" s="82">
        <v>500.0</v>
      </c>
      <c r="K15" s="84">
        <v>5000.0</v>
      </c>
      <c r="L15" s="100" t="s">
        <v>9</v>
      </c>
      <c r="M15" s="100"/>
      <c r="N15" s="100"/>
    </row>
    <row r="16">
      <c r="A16" s="101" t="s">
        <v>286</v>
      </c>
      <c r="B16" s="45" t="s">
        <v>20</v>
      </c>
      <c r="C16" s="45">
        <v>400.0</v>
      </c>
      <c r="D16" s="45" t="s">
        <v>287</v>
      </c>
      <c r="E16" s="45"/>
      <c r="F16" s="45">
        <v>300.0</v>
      </c>
      <c r="G16" s="45">
        <v>100.0</v>
      </c>
      <c r="H16" s="45"/>
      <c r="J16" s="86"/>
      <c r="K16" s="88"/>
      <c r="L16" s="102"/>
      <c r="M16" s="102"/>
      <c r="N16" s="102"/>
    </row>
    <row r="17">
      <c r="A17" s="96" t="s">
        <v>288</v>
      </c>
      <c r="C17" s="96">
        <v>2500.0</v>
      </c>
    </row>
    <row r="20">
      <c r="A20" s="121" t="s">
        <v>289</v>
      </c>
      <c r="B20" s="96">
        <v>10000.0</v>
      </c>
    </row>
    <row r="21" ht="15.75" customHeight="1">
      <c r="A21" s="96" t="s">
        <v>290</v>
      </c>
    </row>
    <row r="22" ht="15.75" customHeight="1"/>
    <row r="23" ht="15.75" customHeight="1">
      <c r="A23" s="96" t="s">
        <v>291</v>
      </c>
    </row>
    <row r="24" ht="15.75" customHeight="1">
      <c r="A24" s="96" t="s">
        <v>292</v>
      </c>
    </row>
    <row r="25" ht="15.75" customHeight="1">
      <c r="A25" s="96" t="s">
        <v>293</v>
      </c>
    </row>
    <row r="26" ht="15.75" customHeight="1">
      <c r="A26" s="96" t="s">
        <v>294</v>
      </c>
    </row>
    <row r="27" ht="15.75" customHeight="1">
      <c r="A27" s="96" t="s">
        <v>295</v>
      </c>
    </row>
    <row r="28" ht="15.75" customHeight="1">
      <c r="A28" s="96" t="s">
        <v>296</v>
      </c>
    </row>
    <row r="29" ht="15.75" customHeight="1">
      <c r="A29" s="96" t="s">
        <v>297</v>
      </c>
    </row>
    <row r="30" ht="15.75" customHeight="1">
      <c r="A30" s="96" t="s">
        <v>298</v>
      </c>
    </row>
    <row r="31" ht="15.75" customHeight="1">
      <c r="A31" s="96" t="s">
        <v>299</v>
      </c>
    </row>
    <row r="32" ht="15.75" customHeight="1">
      <c r="A32" s="96" t="s">
        <v>300</v>
      </c>
    </row>
    <row r="33" ht="15.75" customHeight="1"/>
    <row r="34" ht="15.75" customHeight="1"/>
    <row r="35" ht="15.75" customHeight="1">
      <c r="A35" s="96" t="s">
        <v>301</v>
      </c>
    </row>
    <row r="36" ht="15.75" customHeight="1">
      <c r="A36" s="96" t="s">
        <v>302</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29"/>
  </cols>
  <sheetData>
    <row r="1">
      <c r="A1" s="96" t="s">
        <v>303</v>
      </c>
    </row>
    <row r="2">
      <c r="A2" s="96" t="s">
        <v>304</v>
      </c>
    </row>
    <row r="3">
      <c r="A3" s="96" t="s">
        <v>305</v>
      </c>
    </row>
    <row r="7">
      <c r="A7" s="96" t="s">
        <v>306</v>
      </c>
    </row>
    <row r="39">
      <c r="A39" s="96" t="s">
        <v>307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2" max="2" width="85.57"/>
    <col customWidth="1" min="5" max="6" width="17.29"/>
    <col customWidth="1" min="8" max="8" width="18.43"/>
    <col customWidth="1" min="11" max="11" width="41.43"/>
  </cols>
  <sheetData>
    <row r="1" ht="15.0" customHeight="1">
      <c r="A1" s="122"/>
      <c r="B1" s="123" t="s">
        <v>308</v>
      </c>
      <c r="C1" s="2" t="s">
        <v>3</v>
      </c>
      <c r="D1" s="3" t="s">
        <v>4</v>
      </c>
      <c r="E1" s="124" t="s">
        <v>5</v>
      </c>
      <c r="F1" s="3" t="s">
        <v>180</v>
      </c>
      <c r="G1" s="2" t="s">
        <v>181</v>
      </c>
      <c r="H1" s="2" t="s">
        <v>6</v>
      </c>
      <c r="I1" s="125"/>
      <c r="J1" s="125"/>
      <c r="K1" s="125"/>
      <c r="L1" s="126"/>
      <c r="M1" s="126"/>
      <c r="N1" s="126"/>
      <c r="O1" s="126"/>
      <c r="P1" s="126"/>
      <c r="Q1" s="126"/>
      <c r="R1" s="126"/>
      <c r="S1" s="126"/>
      <c r="T1" s="126"/>
      <c r="U1" s="126"/>
      <c r="V1" s="126"/>
      <c r="W1" s="126"/>
      <c r="X1" s="126"/>
      <c r="Y1" s="126"/>
      <c r="Z1" s="126"/>
    </row>
    <row r="2">
      <c r="A2" s="127">
        <v>1.0</v>
      </c>
      <c r="B2" s="128" t="s">
        <v>309</v>
      </c>
      <c r="C2" s="129" t="s">
        <v>310</v>
      </c>
      <c r="D2" s="127">
        <v>1000.0</v>
      </c>
      <c r="E2" s="127">
        <v>1000.0</v>
      </c>
      <c r="F2" s="127">
        <f t="shared" ref="F2:F65" si="1">SUM(D2:E2)</f>
        <v>2000</v>
      </c>
      <c r="G2" s="130">
        <f t="shared" ref="G2:G65" si="2">(18/100)*E2+(D2+E2)</f>
        <v>2180</v>
      </c>
      <c r="H2" s="129" t="s">
        <v>311</v>
      </c>
      <c r="I2" s="131" t="s">
        <v>312</v>
      </c>
      <c r="J2" s="131"/>
      <c r="K2" s="131"/>
      <c r="L2" s="126"/>
      <c r="M2" s="126"/>
      <c r="N2" s="126"/>
      <c r="O2" s="126"/>
      <c r="P2" s="126"/>
      <c r="Q2" s="126"/>
      <c r="R2" s="126"/>
      <c r="S2" s="126"/>
      <c r="T2" s="126"/>
      <c r="U2" s="126"/>
      <c r="V2" s="126"/>
      <c r="W2" s="126"/>
      <c r="X2" s="126"/>
      <c r="Y2" s="126"/>
      <c r="Z2" s="126"/>
    </row>
    <row r="3">
      <c r="A3" s="127">
        <v>2.0</v>
      </c>
      <c r="B3" s="128" t="s">
        <v>313</v>
      </c>
      <c r="C3" s="129" t="s">
        <v>310</v>
      </c>
      <c r="D3" s="127">
        <v>1000.0</v>
      </c>
      <c r="E3" s="127">
        <v>1000.0</v>
      </c>
      <c r="F3" s="127">
        <f t="shared" si="1"/>
        <v>2000</v>
      </c>
      <c r="G3" s="130">
        <f t="shared" si="2"/>
        <v>2180</v>
      </c>
      <c r="H3" s="129" t="s">
        <v>311</v>
      </c>
      <c r="I3" s="131" t="s">
        <v>314</v>
      </c>
      <c r="J3" s="131"/>
      <c r="K3" s="131"/>
      <c r="L3" s="126"/>
      <c r="M3" s="126"/>
      <c r="N3" s="126"/>
      <c r="O3" s="126"/>
      <c r="P3" s="126"/>
      <c r="Q3" s="126"/>
      <c r="R3" s="126"/>
      <c r="S3" s="126"/>
      <c r="T3" s="126"/>
      <c r="U3" s="126"/>
      <c r="V3" s="126"/>
      <c r="W3" s="126"/>
      <c r="X3" s="126"/>
      <c r="Y3" s="126"/>
      <c r="Z3" s="126"/>
    </row>
    <row r="4">
      <c r="A4" s="127">
        <v>3.0</v>
      </c>
      <c r="B4" s="128" t="s">
        <v>315</v>
      </c>
      <c r="C4" s="129" t="s">
        <v>310</v>
      </c>
      <c r="D4" s="127">
        <v>1000.0</v>
      </c>
      <c r="E4" s="127">
        <v>1000.0</v>
      </c>
      <c r="F4" s="127">
        <f t="shared" si="1"/>
        <v>2000</v>
      </c>
      <c r="G4" s="130">
        <f t="shared" si="2"/>
        <v>2180</v>
      </c>
      <c r="H4" s="129" t="s">
        <v>311</v>
      </c>
      <c r="I4" s="25"/>
      <c r="J4" s="132"/>
      <c r="K4" s="132"/>
      <c r="L4" s="126"/>
      <c r="M4" s="126"/>
      <c r="N4" s="126"/>
      <c r="O4" s="126"/>
      <c r="P4" s="126"/>
      <c r="Q4" s="126"/>
      <c r="R4" s="126"/>
      <c r="S4" s="126"/>
      <c r="T4" s="126"/>
      <c r="U4" s="126"/>
      <c r="V4" s="126"/>
      <c r="W4" s="126"/>
      <c r="X4" s="126"/>
      <c r="Y4" s="126"/>
      <c r="Z4" s="126"/>
    </row>
    <row r="5">
      <c r="A5" s="127">
        <v>4.0</v>
      </c>
      <c r="B5" s="128" t="s">
        <v>316</v>
      </c>
      <c r="C5" s="129" t="s">
        <v>310</v>
      </c>
      <c r="D5" s="127">
        <v>1000.0</v>
      </c>
      <c r="E5" s="127">
        <v>1000.0</v>
      </c>
      <c r="F5" s="127">
        <f t="shared" si="1"/>
        <v>2000</v>
      </c>
      <c r="G5" s="130">
        <f t="shared" si="2"/>
        <v>2180</v>
      </c>
      <c r="H5" s="129" t="s">
        <v>311</v>
      </c>
      <c r="I5" s="133" t="s">
        <v>317</v>
      </c>
      <c r="J5" s="134"/>
      <c r="K5" s="134"/>
      <c r="L5" s="126"/>
      <c r="M5" s="126"/>
      <c r="N5" s="126"/>
      <c r="O5" s="126"/>
      <c r="P5" s="126"/>
      <c r="Q5" s="126"/>
      <c r="R5" s="126"/>
      <c r="S5" s="126"/>
      <c r="T5" s="126"/>
      <c r="U5" s="126"/>
      <c r="V5" s="126"/>
      <c r="W5" s="126"/>
      <c r="X5" s="126"/>
      <c r="Y5" s="126"/>
      <c r="Z5" s="126"/>
    </row>
    <row r="6">
      <c r="A6" s="127">
        <v>5.0</v>
      </c>
      <c r="B6" s="128" t="s">
        <v>318</v>
      </c>
      <c r="C6" s="129" t="s">
        <v>310</v>
      </c>
      <c r="D6" s="127">
        <v>1000.0</v>
      </c>
      <c r="E6" s="127">
        <v>1000.0</v>
      </c>
      <c r="F6" s="127">
        <f t="shared" si="1"/>
        <v>2000</v>
      </c>
      <c r="G6" s="130">
        <f t="shared" si="2"/>
        <v>2180</v>
      </c>
      <c r="H6" s="129" t="s">
        <v>311</v>
      </c>
      <c r="I6" s="134" t="s">
        <v>319</v>
      </c>
      <c r="J6" s="135" t="s">
        <v>320</v>
      </c>
      <c r="K6" s="134"/>
      <c r="L6" s="126"/>
      <c r="M6" s="126"/>
      <c r="N6" s="126"/>
      <c r="O6" s="126"/>
      <c r="P6" s="126"/>
      <c r="Q6" s="126"/>
      <c r="R6" s="126"/>
      <c r="S6" s="126"/>
      <c r="T6" s="126"/>
      <c r="U6" s="126"/>
      <c r="V6" s="126"/>
      <c r="W6" s="126"/>
      <c r="X6" s="126"/>
      <c r="Y6" s="126"/>
      <c r="Z6" s="126"/>
    </row>
    <row r="7">
      <c r="A7" s="127">
        <v>6.0</v>
      </c>
      <c r="B7" s="128" t="s">
        <v>321</v>
      </c>
      <c r="C7" s="129" t="s">
        <v>310</v>
      </c>
      <c r="D7" s="127">
        <v>1000.0</v>
      </c>
      <c r="E7" s="127">
        <v>1000.0</v>
      </c>
      <c r="F7" s="127">
        <f t="shared" si="1"/>
        <v>2000</v>
      </c>
      <c r="G7" s="130">
        <f t="shared" si="2"/>
        <v>2180</v>
      </c>
      <c r="H7" s="129" t="s">
        <v>311</v>
      </c>
      <c r="I7" s="134" t="s">
        <v>322</v>
      </c>
      <c r="J7" s="136" t="s">
        <v>323</v>
      </c>
      <c r="K7" s="132"/>
      <c r="L7" s="126"/>
      <c r="M7" s="126"/>
      <c r="N7" s="126"/>
      <c r="O7" s="126"/>
      <c r="P7" s="126"/>
      <c r="Q7" s="126"/>
      <c r="R7" s="126"/>
      <c r="S7" s="126"/>
      <c r="T7" s="126"/>
      <c r="U7" s="126"/>
      <c r="V7" s="126"/>
      <c r="W7" s="126"/>
      <c r="X7" s="126"/>
      <c r="Y7" s="126"/>
      <c r="Z7" s="126"/>
    </row>
    <row r="8">
      <c r="A8" s="127">
        <v>7.0</v>
      </c>
      <c r="B8" s="128" t="s">
        <v>324</v>
      </c>
      <c r="C8" s="129" t="s">
        <v>310</v>
      </c>
      <c r="D8" s="127">
        <v>2000.0</v>
      </c>
      <c r="E8" s="127">
        <v>1000.0</v>
      </c>
      <c r="F8" s="127">
        <f t="shared" si="1"/>
        <v>3000</v>
      </c>
      <c r="G8" s="130">
        <f t="shared" si="2"/>
        <v>3180</v>
      </c>
      <c r="H8" s="129" t="s">
        <v>311</v>
      </c>
      <c r="I8" s="134" t="s">
        <v>325</v>
      </c>
      <c r="J8" s="134" t="s">
        <v>326</v>
      </c>
      <c r="K8" s="134"/>
      <c r="L8" s="126"/>
      <c r="M8" s="126"/>
      <c r="N8" s="126"/>
      <c r="O8" s="126"/>
      <c r="P8" s="126"/>
      <c r="Q8" s="126"/>
      <c r="R8" s="126"/>
      <c r="S8" s="126"/>
      <c r="T8" s="126"/>
      <c r="U8" s="126"/>
      <c r="V8" s="126"/>
      <c r="W8" s="126"/>
      <c r="X8" s="126"/>
      <c r="Y8" s="126"/>
      <c r="Z8" s="126"/>
    </row>
    <row r="9">
      <c r="A9" s="127">
        <v>9.0</v>
      </c>
      <c r="B9" s="128" t="s">
        <v>327</v>
      </c>
      <c r="C9" s="129" t="s">
        <v>310</v>
      </c>
      <c r="D9" s="127">
        <v>2000.0</v>
      </c>
      <c r="E9" s="127">
        <v>1000.0</v>
      </c>
      <c r="F9" s="127">
        <f t="shared" si="1"/>
        <v>3000</v>
      </c>
      <c r="G9" s="130">
        <f t="shared" si="2"/>
        <v>3180</v>
      </c>
      <c r="H9" s="129" t="s">
        <v>311</v>
      </c>
      <c r="I9" s="134" t="s">
        <v>328</v>
      </c>
      <c r="J9" s="134" t="s">
        <v>326</v>
      </c>
      <c r="K9" s="134"/>
      <c r="L9" s="126"/>
      <c r="M9" s="126"/>
      <c r="N9" s="126"/>
      <c r="O9" s="126"/>
      <c r="P9" s="126"/>
      <c r="Q9" s="126"/>
      <c r="R9" s="126"/>
      <c r="S9" s="126"/>
      <c r="T9" s="126"/>
      <c r="U9" s="126"/>
      <c r="V9" s="126"/>
      <c r="W9" s="126"/>
      <c r="X9" s="126"/>
      <c r="Y9" s="126"/>
      <c r="Z9" s="126"/>
    </row>
    <row r="10">
      <c r="A10" s="127">
        <v>10.0</v>
      </c>
      <c r="B10" s="128" t="s">
        <v>329</v>
      </c>
      <c r="C10" s="129" t="s">
        <v>310</v>
      </c>
      <c r="D10" s="127">
        <v>2000.0</v>
      </c>
      <c r="E10" s="127">
        <v>1000.0</v>
      </c>
      <c r="F10" s="127">
        <f t="shared" si="1"/>
        <v>3000</v>
      </c>
      <c r="G10" s="130">
        <f t="shared" si="2"/>
        <v>3180</v>
      </c>
      <c r="H10" s="129" t="s">
        <v>311</v>
      </c>
      <c r="I10" s="134" t="s">
        <v>330</v>
      </c>
      <c r="J10" s="134" t="s">
        <v>326</v>
      </c>
      <c r="K10" s="134"/>
      <c r="L10" s="126"/>
      <c r="M10" s="126"/>
      <c r="N10" s="126"/>
      <c r="O10" s="126"/>
      <c r="P10" s="126"/>
      <c r="Q10" s="126"/>
      <c r="R10" s="126"/>
      <c r="S10" s="126"/>
      <c r="T10" s="126"/>
      <c r="U10" s="126"/>
      <c r="V10" s="126"/>
      <c r="W10" s="126"/>
      <c r="X10" s="126"/>
      <c r="Y10" s="126"/>
      <c r="Z10" s="126"/>
    </row>
    <row r="11">
      <c r="A11" s="127">
        <v>11.0</v>
      </c>
      <c r="B11" s="128" t="s">
        <v>331</v>
      </c>
      <c r="C11" s="129" t="s">
        <v>310</v>
      </c>
      <c r="D11" s="127">
        <v>2000.0</v>
      </c>
      <c r="E11" s="127">
        <v>1000.0</v>
      </c>
      <c r="F11" s="127">
        <f t="shared" si="1"/>
        <v>3000</v>
      </c>
      <c r="G11" s="130">
        <f t="shared" si="2"/>
        <v>3180</v>
      </c>
      <c r="H11" s="129" t="s">
        <v>311</v>
      </c>
      <c r="I11" s="134" t="s">
        <v>332</v>
      </c>
      <c r="J11" s="134" t="s">
        <v>326</v>
      </c>
      <c r="K11" s="134"/>
      <c r="L11" s="126"/>
      <c r="M11" s="126"/>
      <c r="N11" s="126"/>
      <c r="O11" s="126"/>
      <c r="P11" s="126"/>
      <c r="Q11" s="126"/>
      <c r="R11" s="126"/>
      <c r="S11" s="126"/>
      <c r="T11" s="126"/>
      <c r="U11" s="126"/>
      <c r="V11" s="126"/>
      <c r="W11" s="126"/>
      <c r="X11" s="126"/>
      <c r="Y11" s="126"/>
      <c r="Z11" s="126"/>
    </row>
    <row r="12">
      <c r="A12" s="127">
        <v>12.0</v>
      </c>
      <c r="B12" s="128" t="s">
        <v>333</v>
      </c>
      <c r="C12" s="129" t="s">
        <v>310</v>
      </c>
      <c r="D12" s="127">
        <v>2000.0</v>
      </c>
      <c r="E12" s="127">
        <v>1000.0</v>
      </c>
      <c r="F12" s="127">
        <f t="shared" si="1"/>
        <v>3000</v>
      </c>
      <c r="G12" s="130">
        <f t="shared" si="2"/>
        <v>3180</v>
      </c>
      <c r="H12" s="129" t="s">
        <v>311</v>
      </c>
      <c r="I12" s="134" t="s">
        <v>334</v>
      </c>
      <c r="J12" s="134" t="s">
        <v>326</v>
      </c>
      <c r="K12" s="134"/>
      <c r="L12" s="126"/>
      <c r="M12" s="126"/>
      <c r="N12" s="126"/>
      <c r="O12" s="126"/>
      <c r="P12" s="126"/>
      <c r="Q12" s="126"/>
      <c r="R12" s="126"/>
      <c r="S12" s="126"/>
      <c r="T12" s="126"/>
      <c r="U12" s="126"/>
      <c r="V12" s="126"/>
      <c r="W12" s="126"/>
      <c r="X12" s="126"/>
      <c r="Y12" s="126"/>
      <c r="Z12" s="126"/>
    </row>
    <row r="13">
      <c r="A13" s="127">
        <v>13.0</v>
      </c>
      <c r="B13" s="128" t="s">
        <v>335</v>
      </c>
      <c r="C13" s="129" t="s">
        <v>310</v>
      </c>
      <c r="D13" s="127">
        <v>2000.0</v>
      </c>
      <c r="E13" s="127">
        <v>1000.0</v>
      </c>
      <c r="F13" s="127">
        <f t="shared" si="1"/>
        <v>3000</v>
      </c>
      <c r="G13" s="130">
        <f t="shared" si="2"/>
        <v>3180</v>
      </c>
      <c r="H13" s="129" t="s">
        <v>311</v>
      </c>
      <c r="I13" s="134" t="s">
        <v>336</v>
      </c>
      <c r="J13" s="134" t="s">
        <v>326</v>
      </c>
      <c r="K13" s="134"/>
      <c r="L13" s="126"/>
      <c r="M13" s="126"/>
      <c r="N13" s="126"/>
      <c r="O13" s="126"/>
      <c r="P13" s="126"/>
      <c r="Q13" s="126"/>
      <c r="R13" s="126"/>
      <c r="S13" s="126"/>
      <c r="T13" s="126"/>
      <c r="U13" s="126"/>
      <c r="V13" s="126"/>
      <c r="W13" s="126"/>
      <c r="X13" s="126"/>
      <c r="Y13" s="126"/>
      <c r="Z13" s="126"/>
    </row>
    <row r="14">
      <c r="A14" s="127">
        <v>14.0</v>
      </c>
      <c r="B14" s="128" t="s">
        <v>337</v>
      </c>
      <c r="C14" s="129" t="s">
        <v>310</v>
      </c>
      <c r="D14" s="127">
        <v>2000.0</v>
      </c>
      <c r="E14" s="127">
        <v>1000.0</v>
      </c>
      <c r="F14" s="127">
        <f t="shared" si="1"/>
        <v>3000</v>
      </c>
      <c r="G14" s="130">
        <f t="shared" si="2"/>
        <v>3180</v>
      </c>
      <c r="H14" s="129" t="s">
        <v>311</v>
      </c>
      <c r="I14" s="134" t="s">
        <v>338</v>
      </c>
      <c r="J14" s="134" t="s">
        <v>326</v>
      </c>
      <c r="K14" s="134"/>
      <c r="L14" s="126"/>
      <c r="M14" s="126"/>
      <c r="N14" s="126"/>
      <c r="O14" s="126"/>
      <c r="P14" s="126"/>
      <c r="Q14" s="126"/>
      <c r="R14" s="126"/>
      <c r="S14" s="126"/>
      <c r="T14" s="126"/>
      <c r="U14" s="126"/>
      <c r="V14" s="126"/>
      <c r="W14" s="126"/>
      <c r="X14" s="126"/>
      <c r="Y14" s="126"/>
      <c r="Z14" s="126"/>
    </row>
    <row r="15">
      <c r="A15" s="127">
        <v>15.0</v>
      </c>
      <c r="B15" s="137" t="s">
        <v>339</v>
      </c>
      <c r="C15" s="129" t="s">
        <v>310</v>
      </c>
      <c r="D15" s="127">
        <v>2000.0</v>
      </c>
      <c r="E15" s="127">
        <v>1000.0</v>
      </c>
      <c r="F15" s="127">
        <f t="shared" si="1"/>
        <v>3000</v>
      </c>
      <c r="G15" s="130">
        <f t="shared" si="2"/>
        <v>3180</v>
      </c>
      <c r="H15" s="129" t="s">
        <v>311</v>
      </c>
      <c r="I15" s="132"/>
      <c r="J15" s="132"/>
      <c r="K15" s="132"/>
      <c r="L15" s="126"/>
      <c r="M15" s="126"/>
      <c r="N15" s="126"/>
      <c r="O15" s="126"/>
      <c r="P15" s="126"/>
      <c r="Q15" s="126"/>
      <c r="R15" s="126"/>
      <c r="S15" s="126"/>
      <c r="T15" s="126"/>
      <c r="U15" s="126"/>
      <c r="V15" s="126"/>
      <c r="W15" s="126"/>
      <c r="X15" s="126"/>
      <c r="Y15" s="126"/>
      <c r="Z15" s="126"/>
    </row>
    <row r="16">
      <c r="A16" s="127">
        <v>16.0</v>
      </c>
      <c r="B16" s="128" t="s">
        <v>340</v>
      </c>
      <c r="C16" s="129" t="s">
        <v>310</v>
      </c>
      <c r="D16" s="127">
        <v>2000.0</v>
      </c>
      <c r="E16" s="127">
        <v>1000.0</v>
      </c>
      <c r="F16" s="127">
        <f t="shared" si="1"/>
        <v>3000</v>
      </c>
      <c r="G16" s="130">
        <f t="shared" si="2"/>
        <v>3180</v>
      </c>
      <c r="H16" s="129" t="s">
        <v>311</v>
      </c>
      <c r="I16" s="132"/>
      <c r="J16" s="132"/>
      <c r="K16" s="132"/>
      <c r="L16" s="126"/>
      <c r="M16" s="126"/>
      <c r="N16" s="126"/>
      <c r="O16" s="126"/>
      <c r="P16" s="126"/>
      <c r="Q16" s="126"/>
      <c r="R16" s="126"/>
      <c r="S16" s="126"/>
      <c r="T16" s="126"/>
      <c r="U16" s="126"/>
      <c r="V16" s="126"/>
      <c r="W16" s="126"/>
      <c r="X16" s="126"/>
      <c r="Y16" s="126"/>
      <c r="Z16" s="126"/>
    </row>
    <row r="17">
      <c r="A17" s="127">
        <v>17.0</v>
      </c>
      <c r="B17" s="128" t="s">
        <v>341</v>
      </c>
      <c r="C17" s="129" t="s">
        <v>310</v>
      </c>
      <c r="D17" s="127">
        <v>2000.0</v>
      </c>
      <c r="E17" s="127">
        <v>1000.0</v>
      </c>
      <c r="F17" s="127">
        <f t="shared" si="1"/>
        <v>3000</v>
      </c>
      <c r="G17" s="130">
        <f t="shared" si="2"/>
        <v>3180</v>
      </c>
      <c r="H17" s="129" t="s">
        <v>311</v>
      </c>
      <c r="I17" s="132"/>
      <c r="J17" s="132"/>
      <c r="K17" s="132"/>
      <c r="L17" s="126"/>
      <c r="M17" s="126"/>
      <c r="N17" s="126"/>
      <c r="O17" s="126"/>
      <c r="P17" s="126"/>
      <c r="Q17" s="126"/>
      <c r="R17" s="126"/>
      <c r="S17" s="126"/>
      <c r="T17" s="126"/>
      <c r="U17" s="126"/>
      <c r="V17" s="126"/>
      <c r="W17" s="126"/>
      <c r="X17" s="126"/>
      <c r="Y17" s="126"/>
      <c r="Z17" s="126"/>
    </row>
    <row r="18">
      <c r="A18" s="127">
        <v>18.0</v>
      </c>
      <c r="B18" s="128" t="s">
        <v>342</v>
      </c>
      <c r="C18" s="129" t="s">
        <v>310</v>
      </c>
      <c r="D18" s="127">
        <v>2000.0</v>
      </c>
      <c r="E18" s="127">
        <v>1000.0</v>
      </c>
      <c r="F18" s="127">
        <f t="shared" si="1"/>
        <v>3000</v>
      </c>
      <c r="G18" s="130">
        <f t="shared" si="2"/>
        <v>3180</v>
      </c>
      <c r="H18" s="129" t="s">
        <v>311</v>
      </c>
      <c r="I18" s="132"/>
      <c r="J18" s="132"/>
      <c r="K18" s="132"/>
      <c r="L18" s="126"/>
      <c r="M18" s="126"/>
      <c r="N18" s="126"/>
      <c r="O18" s="126"/>
      <c r="P18" s="126"/>
      <c r="Q18" s="126"/>
      <c r="R18" s="126"/>
      <c r="S18" s="126"/>
      <c r="T18" s="126"/>
      <c r="U18" s="126"/>
      <c r="V18" s="126"/>
      <c r="W18" s="126"/>
      <c r="X18" s="126"/>
      <c r="Y18" s="126"/>
      <c r="Z18" s="126"/>
    </row>
    <row r="19">
      <c r="A19" s="127">
        <v>19.0</v>
      </c>
      <c r="B19" s="128" t="s">
        <v>343</v>
      </c>
      <c r="C19" s="129" t="s">
        <v>310</v>
      </c>
      <c r="D19" s="127">
        <v>2000.0</v>
      </c>
      <c r="E19" s="127">
        <v>1000.0</v>
      </c>
      <c r="F19" s="127">
        <f t="shared" si="1"/>
        <v>3000</v>
      </c>
      <c r="G19" s="130">
        <f t="shared" si="2"/>
        <v>3180</v>
      </c>
      <c r="H19" s="129" t="s">
        <v>311</v>
      </c>
      <c r="I19" s="132"/>
      <c r="J19" s="132"/>
      <c r="K19" s="132"/>
      <c r="L19" s="126"/>
      <c r="M19" s="126"/>
      <c r="N19" s="126"/>
      <c r="O19" s="126"/>
      <c r="P19" s="126"/>
      <c r="Q19" s="126"/>
      <c r="R19" s="126"/>
      <c r="S19" s="126"/>
      <c r="T19" s="126"/>
      <c r="U19" s="126"/>
      <c r="V19" s="126"/>
      <c r="W19" s="126"/>
      <c r="X19" s="126"/>
      <c r="Y19" s="126"/>
      <c r="Z19" s="126"/>
    </row>
    <row r="20">
      <c r="A20" s="127">
        <v>20.0</v>
      </c>
      <c r="B20" s="128" t="s">
        <v>344</v>
      </c>
      <c r="C20" s="129" t="s">
        <v>310</v>
      </c>
      <c r="D20" s="127">
        <v>2000.0</v>
      </c>
      <c r="E20" s="127">
        <v>1000.0</v>
      </c>
      <c r="F20" s="127">
        <f t="shared" si="1"/>
        <v>3000</v>
      </c>
      <c r="G20" s="130">
        <f t="shared" si="2"/>
        <v>3180</v>
      </c>
      <c r="H20" s="129" t="s">
        <v>311</v>
      </c>
      <c r="I20" s="132"/>
      <c r="J20" s="132"/>
      <c r="K20" s="132"/>
      <c r="L20" s="126"/>
      <c r="M20" s="126"/>
      <c r="N20" s="126"/>
      <c r="O20" s="126"/>
      <c r="P20" s="126"/>
      <c r="Q20" s="126"/>
      <c r="R20" s="126"/>
      <c r="S20" s="126"/>
      <c r="T20" s="126"/>
      <c r="U20" s="126"/>
      <c r="V20" s="126"/>
      <c r="W20" s="126"/>
      <c r="X20" s="126"/>
      <c r="Y20" s="126"/>
      <c r="Z20" s="126"/>
    </row>
    <row r="21" ht="15.75" customHeight="1">
      <c r="A21" s="127">
        <v>21.0</v>
      </c>
      <c r="B21" s="128" t="s">
        <v>345</v>
      </c>
      <c r="C21" s="129" t="s">
        <v>310</v>
      </c>
      <c r="D21" s="127">
        <v>2000.0</v>
      </c>
      <c r="E21" s="127">
        <v>1000.0</v>
      </c>
      <c r="F21" s="127">
        <f t="shared" si="1"/>
        <v>3000</v>
      </c>
      <c r="G21" s="130">
        <f t="shared" si="2"/>
        <v>3180</v>
      </c>
      <c r="H21" s="129" t="s">
        <v>311</v>
      </c>
      <c r="I21" s="132"/>
      <c r="J21" s="132"/>
      <c r="K21" s="132"/>
      <c r="L21" s="126"/>
      <c r="M21" s="126"/>
      <c r="N21" s="126"/>
      <c r="O21" s="126"/>
      <c r="P21" s="126"/>
      <c r="Q21" s="126"/>
      <c r="R21" s="126"/>
      <c r="S21" s="126"/>
      <c r="T21" s="126"/>
      <c r="U21" s="126"/>
      <c r="V21" s="126"/>
      <c r="W21" s="126"/>
      <c r="X21" s="126"/>
      <c r="Y21" s="126"/>
      <c r="Z21" s="126"/>
    </row>
    <row r="22" ht="15.75" customHeight="1">
      <c r="A22" s="127">
        <v>22.0</v>
      </c>
      <c r="B22" s="128" t="s">
        <v>346</v>
      </c>
      <c r="C22" s="129" t="s">
        <v>310</v>
      </c>
      <c r="D22" s="127">
        <v>2000.0</v>
      </c>
      <c r="E22" s="127">
        <v>1000.0</v>
      </c>
      <c r="F22" s="127">
        <f t="shared" si="1"/>
        <v>3000</v>
      </c>
      <c r="G22" s="130">
        <f t="shared" si="2"/>
        <v>3180</v>
      </c>
      <c r="H22" s="129" t="s">
        <v>311</v>
      </c>
      <c r="I22" s="132"/>
      <c r="J22" s="132"/>
      <c r="K22" s="132"/>
      <c r="L22" s="126"/>
      <c r="M22" s="126"/>
      <c r="N22" s="126"/>
      <c r="O22" s="126"/>
      <c r="P22" s="126"/>
      <c r="Q22" s="126"/>
      <c r="R22" s="126"/>
      <c r="S22" s="126"/>
      <c r="T22" s="126"/>
      <c r="U22" s="126"/>
      <c r="V22" s="126"/>
      <c r="W22" s="126"/>
      <c r="X22" s="126"/>
      <c r="Y22" s="126"/>
      <c r="Z22" s="126"/>
    </row>
    <row r="23" ht="15.75" customHeight="1">
      <c r="A23" s="127">
        <v>23.0</v>
      </c>
      <c r="B23" s="128" t="s">
        <v>347</v>
      </c>
      <c r="C23" s="129" t="s">
        <v>310</v>
      </c>
      <c r="D23" s="127">
        <v>2000.0</v>
      </c>
      <c r="E23" s="127">
        <v>1000.0</v>
      </c>
      <c r="F23" s="127">
        <f t="shared" si="1"/>
        <v>3000</v>
      </c>
      <c r="G23" s="130">
        <f t="shared" si="2"/>
        <v>3180</v>
      </c>
      <c r="H23" s="129" t="s">
        <v>311</v>
      </c>
      <c r="I23" s="132"/>
      <c r="J23" s="132"/>
      <c r="K23" s="132"/>
      <c r="L23" s="126"/>
      <c r="M23" s="126"/>
      <c r="N23" s="126"/>
      <c r="O23" s="126"/>
      <c r="P23" s="126"/>
      <c r="Q23" s="126"/>
      <c r="R23" s="126"/>
      <c r="S23" s="126"/>
      <c r="T23" s="126"/>
      <c r="U23" s="126"/>
      <c r="V23" s="126"/>
      <c r="W23" s="126"/>
      <c r="X23" s="126"/>
      <c r="Y23" s="126"/>
      <c r="Z23" s="126"/>
    </row>
    <row r="24" ht="15.75" customHeight="1">
      <c r="A24" s="127">
        <v>24.0</v>
      </c>
      <c r="B24" s="128" t="s">
        <v>348</v>
      </c>
      <c r="C24" s="129" t="s">
        <v>310</v>
      </c>
      <c r="D24" s="127">
        <v>2000.0</v>
      </c>
      <c r="E24" s="127">
        <v>1000.0</v>
      </c>
      <c r="F24" s="127">
        <f t="shared" si="1"/>
        <v>3000</v>
      </c>
      <c r="G24" s="130">
        <f t="shared" si="2"/>
        <v>3180</v>
      </c>
      <c r="H24" s="129" t="s">
        <v>311</v>
      </c>
      <c r="I24" s="132"/>
      <c r="J24" s="132"/>
      <c r="K24" s="132"/>
      <c r="L24" s="126"/>
      <c r="M24" s="126"/>
      <c r="N24" s="126"/>
      <c r="O24" s="126"/>
      <c r="P24" s="126"/>
      <c r="Q24" s="126"/>
      <c r="R24" s="126"/>
      <c r="S24" s="126"/>
      <c r="T24" s="126"/>
      <c r="U24" s="126"/>
      <c r="V24" s="126"/>
      <c r="W24" s="126"/>
      <c r="X24" s="126"/>
      <c r="Y24" s="126"/>
      <c r="Z24" s="126"/>
    </row>
    <row r="25" ht="15.75" customHeight="1">
      <c r="A25" s="127">
        <v>25.0</v>
      </c>
      <c r="B25" s="128" t="s">
        <v>349</v>
      </c>
      <c r="C25" s="129" t="s">
        <v>310</v>
      </c>
      <c r="D25" s="127">
        <v>2000.0</v>
      </c>
      <c r="E25" s="127">
        <v>1000.0</v>
      </c>
      <c r="F25" s="127">
        <f t="shared" si="1"/>
        <v>3000</v>
      </c>
      <c r="G25" s="130">
        <f t="shared" si="2"/>
        <v>3180</v>
      </c>
      <c r="H25" s="129" t="s">
        <v>311</v>
      </c>
      <c r="I25" s="132"/>
      <c r="J25" s="132"/>
      <c r="K25" s="132"/>
      <c r="L25" s="126"/>
      <c r="M25" s="126"/>
      <c r="N25" s="126"/>
      <c r="O25" s="126"/>
      <c r="P25" s="126"/>
      <c r="Q25" s="126"/>
      <c r="R25" s="126"/>
      <c r="S25" s="126"/>
      <c r="T25" s="126"/>
      <c r="U25" s="126"/>
      <c r="V25" s="126"/>
      <c r="W25" s="126"/>
      <c r="X25" s="126"/>
      <c r="Y25" s="126"/>
      <c r="Z25" s="126"/>
    </row>
    <row r="26" ht="15.75" customHeight="1">
      <c r="A26" s="127">
        <v>26.0</v>
      </c>
      <c r="B26" s="128" t="s">
        <v>350</v>
      </c>
      <c r="C26" s="129" t="s">
        <v>310</v>
      </c>
      <c r="D26" s="127">
        <v>2000.0</v>
      </c>
      <c r="E26" s="127">
        <v>1000.0</v>
      </c>
      <c r="F26" s="127">
        <f t="shared" si="1"/>
        <v>3000</v>
      </c>
      <c r="G26" s="130">
        <f t="shared" si="2"/>
        <v>3180</v>
      </c>
      <c r="H26" s="129" t="s">
        <v>311</v>
      </c>
      <c r="I26" s="132"/>
      <c r="J26" s="132"/>
      <c r="K26" s="132"/>
      <c r="L26" s="126"/>
      <c r="M26" s="126"/>
      <c r="N26" s="126"/>
      <c r="O26" s="126"/>
      <c r="P26" s="126"/>
      <c r="Q26" s="126"/>
      <c r="R26" s="126"/>
      <c r="S26" s="126"/>
      <c r="T26" s="126"/>
      <c r="U26" s="126"/>
      <c r="V26" s="126"/>
      <c r="W26" s="126"/>
      <c r="X26" s="126"/>
      <c r="Y26" s="126"/>
      <c r="Z26" s="126"/>
    </row>
    <row r="27" ht="15.75" customHeight="1">
      <c r="A27" s="127">
        <v>27.0</v>
      </c>
      <c r="B27" s="128" t="s">
        <v>351</v>
      </c>
      <c r="C27" s="129" t="s">
        <v>310</v>
      </c>
      <c r="D27" s="127">
        <v>2000.0</v>
      </c>
      <c r="E27" s="127">
        <v>1000.0</v>
      </c>
      <c r="F27" s="127">
        <f t="shared" si="1"/>
        <v>3000</v>
      </c>
      <c r="G27" s="130">
        <f t="shared" si="2"/>
        <v>3180</v>
      </c>
      <c r="H27" s="129" t="s">
        <v>311</v>
      </c>
      <c r="I27" s="132"/>
      <c r="J27" s="132"/>
      <c r="K27" s="132"/>
      <c r="L27" s="126"/>
      <c r="M27" s="126"/>
      <c r="N27" s="126"/>
      <c r="O27" s="126"/>
      <c r="P27" s="126"/>
      <c r="Q27" s="126"/>
      <c r="R27" s="126"/>
      <c r="S27" s="126"/>
      <c r="T27" s="126"/>
      <c r="U27" s="126"/>
      <c r="V27" s="126"/>
      <c r="W27" s="126"/>
      <c r="X27" s="126"/>
      <c r="Y27" s="126"/>
      <c r="Z27" s="126"/>
    </row>
    <row r="28" ht="15.75" customHeight="1">
      <c r="A28" s="127">
        <v>28.0</v>
      </c>
      <c r="B28" s="128" t="s">
        <v>352</v>
      </c>
      <c r="C28" s="129" t="s">
        <v>310</v>
      </c>
      <c r="D28" s="127">
        <v>2000.0</v>
      </c>
      <c r="E28" s="127">
        <v>1000.0</v>
      </c>
      <c r="F28" s="127">
        <f t="shared" si="1"/>
        <v>3000</v>
      </c>
      <c r="G28" s="130">
        <f t="shared" si="2"/>
        <v>3180</v>
      </c>
      <c r="H28" s="129" t="s">
        <v>311</v>
      </c>
      <c r="I28" s="132"/>
      <c r="J28" s="132"/>
      <c r="K28" s="132"/>
      <c r="L28" s="126"/>
      <c r="M28" s="126"/>
      <c r="N28" s="126"/>
      <c r="O28" s="126"/>
      <c r="P28" s="126"/>
      <c r="Q28" s="126"/>
      <c r="R28" s="126"/>
      <c r="S28" s="126"/>
      <c r="T28" s="126"/>
      <c r="U28" s="126"/>
      <c r="V28" s="126"/>
      <c r="W28" s="126"/>
      <c r="X28" s="126"/>
      <c r="Y28" s="126"/>
      <c r="Z28" s="126"/>
    </row>
    <row r="29" ht="15.75" customHeight="1">
      <c r="A29" s="127">
        <v>29.0</v>
      </c>
      <c r="B29" s="128" t="s">
        <v>353</v>
      </c>
      <c r="C29" s="129" t="s">
        <v>310</v>
      </c>
      <c r="D29" s="127">
        <v>2000.0</v>
      </c>
      <c r="E29" s="127">
        <v>1000.0</v>
      </c>
      <c r="F29" s="127">
        <f t="shared" si="1"/>
        <v>3000</v>
      </c>
      <c r="G29" s="130">
        <f t="shared" si="2"/>
        <v>3180</v>
      </c>
      <c r="H29" s="129" t="s">
        <v>311</v>
      </c>
      <c r="I29" s="132"/>
      <c r="J29" s="132"/>
      <c r="K29" s="132"/>
      <c r="L29" s="126"/>
      <c r="M29" s="126"/>
      <c r="N29" s="126"/>
      <c r="O29" s="126"/>
      <c r="P29" s="126"/>
      <c r="Q29" s="126"/>
      <c r="R29" s="126"/>
      <c r="S29" s="126"/>
      <c r="T29" s="126"/>
      <c r="U29" s="126"/>
      <c r="V29" s="126"/>
      <c r="W29" s="126"/>
      <c r="X29" s="126"/>
      <c r="Y29" s="126"/>
      <c r="Z29" s="126"/>
    </row>
    <row r="30" ht="15.75" customHeight="1">
      <c r="A30" s="127">
        <v>30.0</v>
      </c>
      <c r="B30" s="128" t="s">
        <v>354</v>
      </c>
      <c r="C30" s="129" t="s">
        <v>310</v>
      </c>
      <c r="D30" s="127">
        <v>1500.0</v>
      </c>
      <c r="E30" s="127">
        <v>1000.0</v>
      </c>
      <c r="F30" s="127">
        <f t="shared" si="1"/>
        <v>2500</v>
      </c>
      <c r="G30" s="130">
        <f t="shared" si="2"/>
        <v>2680</v>
      </c>
      <c r="H30" s="129" t="s">
        <v>311</v>
      </c>
      <c r="I30" s="132"/>
      <c r="J30" s="132"/>
      <c r="K30" s="132"/>
      <c r="L30" s="126"/>
      <c r="M30" s="126"/>
      <c r="N30" s="126"/>
      <c r="O30" s="126"/>
      <c r="P30" s="126"/>
      <c r="Q30" s="126"/>
      <c r="R30" s="126"/>
      <c r="S30" s="126"/>
      <c r="T30" s="126"/>
      <c r="U30" s="126"/>
      <c r="V30" s="126"/>
      <c r="W30" s="126"/>
      <c r="X30" s="126"/>
      <c r="Y30" s="126"/>
      <c r="Z30" s="126"/>
    </row>
    <row r="31" ht="15.75" customHeight="1">
      <c r="A31" s="127">
        <v>31.0</v>
      </c>
      <c r="B31" s="128" t="s">
        <v>355</v>
      </c>
      <c r="C31" s="129" t="s">
        <v>310</v>
      </c>
      <c r="D31" s="127">
        <v>1500.0</v>
      </c>
      <c r="E31" s="127">
        <v>1000.0</v>
      </c>
      <c r="F31" s="127">
        <f t="shared" si="1"/>
        <v>2500</v>
      </c>
      <c r="G31" s="130">
        <f t="shared" si="2"/>
        <v>2680</v>
      </c>
      <c r="H31" s="129" t="s">
        <v>311</v>
      </c>
      <c r="I31" s="132"/>
      <c r="J31" s="132"/>
      <c r="K31" s="132"/>
      <c r="L31" s="126"/>
      <c r="M31" s="126"/>
      <c r="N31" s="126"/>
      <c r="O31" s="126"/>
      <c r="P31" s="126"/>
      <c r="Q31" s="126"/>
      <c r="R31" s="126"/>
      <c r="S31" s="126"/>
      <c r="T31" s="126"/>
      <c r="U31" s="126"/>
      <c r="V31" s="126"/>
      <c r="W31" s="126"/>
      <c r="X31" s="126"/>
      <c r="Y31" s="126"/>
      <c r="Z31" s="126"/>
    </row>
    <row r="32" ht="15.75" customHeight="1">
      <c r="A32" s="127">
        <v>32.0</v>
      </c>
      <c r="B32" s="128" t="s">
        <v>356</v>
      </c>
      <c r="C32" s="129" t="s">
        <v>310</v>
      </c>
      <c r="D32" s="127">
        <v>2000.0</v>
      </c>
      <c r="E32" s="127">
        <v>1000.0</v>
      </c>
      <c r="F32" s="127">
        <f t="shared" si="1"/>
        <v>3000</v>
      </c>
      <c r="G32" s="130">
        <f t="shared" si="2"/>
        <v>3180</v>
      </c>
      <c r="H32" s="129" t="s">
        <v>311</v>
      </c>
      <c r="I32" s="132"/>
      <c r="J32" s="132"/>
      <c r="K32" s="132"/>
      <c r="L32" s="126"/>
      <c r="M32" s="126"/>
      <c r="N32" s="126"/>
      <c r="O32" s="126"/>
      <c r="P32" s="126"/>
      <c r="Q32" s="126"/>
      <c r="R32" s="126"/>
      <c r="S32" s="126"/>
      <c r="T32" s="126"/>
      <c r="U32" s="126"/>
      <c r="V32" s="126"/>
      <c r="W32" s="126"/>
      <c r="X32" s="126"/>
      <c r="Y32" s="126"/>
      <c r="Z32" s="126"/>
    </row>
    <row r="33" ht="15.75" customHeight="1">
      <c r="A33" s="127">
        <v>33.0</v>
      </c>
      <c r="B33" s="128" t="s">
        <v>357</v>
      </c>
      <c r="C33" s="129" t="s">
        <v>310</v>
      </c>
      <c r="D33" s="127">
        <v>1500.0</v>
      </c>
      <c r="E33" s="127">
        <v>1000.0</v>
      </c>
      <c r="F33" s="127">
        <f t="shared" si="1"/>
        <v>2500</v>
      </c>
      <c r="G33" s="130">
        <f t="shared" si="2"/>
        <v>2680</v>
      </c>
      <c r="H33" s="129" t="s">
        <v>311</v>
      </c>
      <c r="I33" s="132"/>
      <c r="J33" s="132"/>
      <c r="K33" s="132"/>
      <c r="L33" s="126"/>
      <c r="M33" s="126"/>
      <c r="N33" s="126"/>
      <c r="O33" s="126"/>
      <c r="P33" s="126"/>
      <c r="Q33" s="126"/>
      <c r="R33" s="126"/>
      <c r="S33" s="126"/>
      <c r="T33" s="126"/>
      <c r="U33" s="126"/>
      <c r="V33" s="126"/>
      <c r="W33" s="126"/>
      <c r="X33" s="126"/>
      <c r="Y33" s="126"/>
      <c r="Z33" s="126"/>
    </row>
    <row r="34" ht="15.75" customHeight="1">
      <c r="A34" s="127">
        <v>34.0</v>
      </c>
      <c r="B34" s="128" t="s">
        <v>358</v>
      </c>
      <c r="C34" s="129" t="s">
        <v>310</v>
      </c>
      <c r="D34" s="127">
        <v>1500.0</v>
      </c>
      <c r="E34" s="127">
        <v>1000.0</v>
      </c>
      <c r="F34" s="127">
        <f t="shared" si="1"/>
        <v>2500</v>
      </c>
      <c r="G34" s="130">
        <f t="shared" si="2"/>
        <v>2680</v>
      </c>
      <c r="H34" s="129" t="s">
        <v>311</v>
      </c>
      <c r="I34" s="132"/>
      <c r="J34" s="132"/>
      <c r="K34" s="132"/>
      <c r="L34" s="126"/>
      <c r="M34" s="126"/>
      <c r="N34" s="126"/>
      <c r="O34" s="126"/>
      <c r="P34" s="126"/>
      <c r="Q34" s="126"/>
      <c r="R34" s="126"/>
      <c r="S34" s="126"/>
      <c r="T34" s="126"/>
      <c r="U34" s="126"/>
      <c r="V34" s="126"/>
      <c r="W34" s="126"/>
      <c r="X34" s="126"/>
      <c r="Y34" s="126"/>
      <c r="Z34" s="126"/>
    </row>
    <row r="35" ht="15.75" customHeight="1">
      <c r="A35" s="127">
        <v>35.0</v>
      </c>
      <c r="B35" s="128" t="s">
        <v>359</v>
      </c>
      <c r="C35" s="129" t="s">
        <v>310</v>
      </c>
      <c r="D35" s="127">
        <v>1500.0</v>
      </c>
      <c r="E35" s="127">
        <v>1000.0</v>
      </c>
      <c r="F35" s="127">
        <f t="shared" si="1"/>
        <v>2500</v>
      </c>
      <c r="G35" s="130">
        <f t="shared" si="2"/>
        <v>2680</v>
      </c>
      <c r="H35" s="129" t="s">
        <v>311</v>
      </c>
      <c r="I35" s="132"/>
      <c r="J35" s="132"/>
      <c r="K35" s="132"/>
      <c r="L35" s="126"/>
      <c r="M35" s="126"/>
      <c r="N35" s="126"/>
      <c r="O35" s="126"/>
      <c r="P35" s="126"/>
      <c r="Q35" s="126"/>
      <c r="R35" s="126"/>
      <c r="S35" s="126"/>
      <c r="T35" s="126"/>
      <c r="U35" s="126"/>
      <c r="V35" s="126"/>
      <c r="W35" s="126"/>
      <c r="X35" s="126"/>
      <c r="Y35" s="126"/>
      <c r="Z35" s="126"/>
    </row>
    <row r="36" ht="15.75" customHeight="1">
      <c r="A36" s="127">
        <v>36.0</v>
      </c>
      <c r="B36" s="128" t="s">
        <v>360</v>
      </c>
      <c r="C36" s="129" t="s">
        <v>310</v>
      </c>
      <c r="D36" s="127">
        <v>1500.0</v>
      </c>
      <c r="E36" s="127">
        <v>1000.0</v>
      </c>
      <c r="F36" s="127">
        <f t="shared" si="1"/>
        <v>2500</v>
      </c>
      <c r="G36" s="130">
        <f t="shared" si="2"/>
        <v>2680</v>
      </c>
      <c r="H36" s="129" t="s">
        <v>311</v>
      </c>
      <c r="I36" s="132"/>
      <c r="J36" s="132"/>
      <c r="K36" s="132"/>
      <c r="L36" s="126"/>
      <c r="M36" s="126"/>
      <c r="N36" s="126"/>
      <c r="O36" s="126"/>
      <c r="P36" s="126"/>
      <c r="Q36" s="126"/>
      <c r="R36" s="126"/>
      <c r="S36" s="126"/>
      <c r="T36" s="126"/>
      <c r="U36" s="126"/>
      <c r="V36" s="126"/>
      <c r="W36" s="126"/>
      <c r="X36" s="126"/>
      <c r="Y36" s="126"/>
      <c r="Z36" s="126"/>
    </row>
    <row r="37" ht="15.75" customHeight="1">
      <c r="A37" s="127">
        <v>37.0</v>
      </c>
      <c r="B37" s="128" t="s">
        <v>361</v>
      </c>
      <c r="C37" s="129" t="s">
        <v>310</v>
      </c>
      <c r="D37" s="127">
        <v>1500.0</v>
      </c>
      <c r="E37" s="127">
        <v>1000.0</v>
      </c>
      <c r="F37" s="127">
        <f t="shared" si="1"/>
        <v>2500</v>
      </c>
      <c r="G37" s="130">
        <f t="shared" si="2"/>
        <v>2680</v>
      </c>
      <c r="H37" s="129" t="s">
        <v>311</v>
      </c>
      <c r="I37" s="132"/>
      <c r="J37" s="132"/>
      <c r="K37" s="132"/>
      <c r="L37" s="126"/>
      <c r="M37" s="126"/>
      <c r="N37" s="126"/>
      <c r="O37" s="126"/>
      <c r="P37" s="126"/>
      <c r="Q37" s="126"/>
      <c r="R37" s="126"/>
      <c r="S37" s="126"/>
      <c r="T37" s="126"/>
      <c r="U37" s="126"/>
      <c r="V37" s="126"/>
      <c r="W37" s="126"/>
      <c r="X37" s="126"/>
      <c r="Y37" s="126"/>
      <c r="Z37" s="126"/>
    </row>
    <row r="38" ht="15.75" customHeight="1">
      <c r="A38" s="127">
        <v>38.0</v>
      </c>
      <c r="B38" s="128" t="s">
        <v>362</v>
      </c>
      <c r="C38" s="129" t="s">
        <v>310</v>
      </c>
      <c r="D38" s="127">
        <v>1500.0</v>
      </c>
      <c r="E38" s="127">
        <v>1000.0</v>
      </c>
      <c r="F38" s="127">
        <f t="shared" si="1"/>
        <v>2500</v>
      </c>
      <c r="G38" s="130">
        <f t="shared" si="2"/>
        <v>2680</v>
      </c>
      <c r="H38" s="129" t="s">
        <v>311</v>
      </c>
      <c r="I38" s="132"/>
      <c r="J38" s="132"/>
      <c r="K38" s="132"/>
      <c r="L38" s="126"/>
      <c r="M38" s="126"/>
      <c r="N38" s="126"/>
      <c r="O38" s="126"/>
      <c r="P38" s="126"/>
      <c r="Q38" s="126"/>
      <c r="R38" s="126"/>
      <c r="S38" s="126"/>
      <c r="T38" s="126"/>
      <c r="U38" s="126"/>
      <c r="V38" s="126"/>
      <c r="W38" s="126"/>
      <c r="X38" s="126"/>
      <c r="Y38" s="126"/>
      <c r="Z38" s="126"/>
    </row>
    <row r="39" ht="15.75" customHeight="1">
      <c r="A39" s="127">
        <v>39.0</v>
      </c>
      <c r="B39" s="128" t="s">
        <v>363</v>
      </c>
      <c r="C39" s="129" t="s">
        <v>310</v>
      </c>
      <c r="D39" s="127">
        <v>1500.0</v>
      </c>
      <c r="E39" s="127">
        <v>1000.0</v>
      </c>
      <c r="F39" s="127">
        <f t="shared" si="1"/>
        <v>2500</v>
      </c>
      <c r="G39" s="130">
        <f t="shared" si="2"/>
        <v>2680</v>
      </c>
      <c r="H39" s="129" t="s">
        <v>311</v>
      </c>
      <c r="I39" s="132"/>
      <c r="J39" s="132"/>
      <c r="K39" s="132"/>
      <c r="L39" s="126"/>
      <c r="M39" s="126"/>
      <c r="N39" s="126"/>
      <c r="O39" s="126"/>
      <c r="P39" s="126"/>
      <c r="Q39" s="126"/>
      <c r="R39" s="126"/>
      <c r="S39" s="126"/>
      <c r="T39" s="126"/>
      <c r="U39" s="126"/>
      <c r="V39" s="126"/>
      <c r="W39" s="126"/>
      <c r="X39" s="126"/>
      <c r="Y39" s="126"/>
      <c r="Z39" s="126"/>
    </row>
    <row r="40" ht="15.75" customHeight="1">
      <c r="A40" s="127">
        <v>40.0</v>
      </c>
      <c r="B40" s="128" t="s">
        <v>364</v>
      </c>
      <c r="C40" s="129" t="s">
        <v>310</v>
      </c>
      <c r="D40" s="127">
        <v>1500.0</v>
      </c>
      <c r="E40" s="127">
        <v>1000.0</v>
      </c>
      <c r="F40" s="127">
        <f t="shared" si="1"/>
        <v>2500</v>
      </c>
      <c r="G40" s="130">
        <f t="shared" si="2"/>
        <v>2680</v>
      </c>
      <c r="H40" s="129" t="s">
        <v>311</v>
      </c>
      <c r="I40" s="132"/>
      <c r="J40" s="132"/>
      <c r="K40" s="132"/>
      <c r="L40" s="126"/>
      <c r="M40" s="126"/>
      <c r="N40" s="126"/>
      <c r="O40" s="126"/>
      <c r="P40" s="126"/>
      <c r="Q40" s="126"/>
      <c r="R40" s="126"/>
      <c r="S40" s="126"/>
      <c r="T40" s="126"/>
      <c r="U40" s="126"/>
      <c r="V40" s="126"/>
      <c r="W40" s="126"/>
      <c r="X40" s="126"/>
      <c r="Y40" s="126"/>
      <c r="Z40" s="126"/>
    </row>
    <row r="41" ht="15.75" customHeight="1">
      <c r="A41" s="127">
        <v>41.0</v>
      </c>
      <c r="B41" s="128" t="s">
        <v>365</v>
      </c>
      <c r="C41" s="129" t="s">
        <v>310</v>
      </c>
      <c r="D41" s="127">
        <v>1500.0</v>
      </c>
      <c r="E41" s="127">
        <v>1000.0</v>
      </c>
      <c r="F41" s="127">
        <f t="shared" si="1"/>
        <v>2500</v>
      </c>
      <c r="G41" s="130">
        <f t="shared" si="2"/>
        <v>2680</v>
      </c>
      <c r="H41" s="129" t="s">
        <v>311</v>
      </c>
      <c r="I41" s="132"/>
      <c r="J41" s="132"/>
      <c r="K41" s="132"/>
      <c r="L41" s="126"/>
      <c r="M41" s="126"/>
      <c r="N41" s="126"/>
      <c r="O41" s="126"/>
      <c r="P41" s="126"/>
      <c r="Q41" s="126"/>
      <c r="R41" s="126"/>
      <c r="S41" s="126"/>
      <c r="T41" s="126"/>
      <c r="U41" s="126"/>
      <c r="V41" s="126"/>
      <c r="W41" s="126"/>
      <c r="X41" s="126"/>
      <c r="Y41" s="126"/>
      <c r="Z41" s="126"/>
    </row>
    <row r="42" ht="15.75" customHeight="1">
      <c r="A42" s="127">
        <v>42.0</v>
      </c>
      <c r="B42" s="128" t="s">
        <v>366</v>
      </c>
      <c r="C42" s="129" t="s">
        <v>310</v>
      </c>
      <c r="D42" s="127">
        <v>1500.0</v>
      </c>
      <c r="E42" s="127">
        <v>1000.0</v>
      </c>
      <c r="F42" s="127">
        <f t="shared" si="1"/>
        <v>2500</v>
      </c>
      <c r="G42" s="130">
        <f t="shared" si="2"/>
        <v>2680</v>
      </c>
      <c r="H42" s="129" t="s">
        <v>311</v>
      </c>
      <c r="I42" s="132"/>
      <c r="J42" s="132"/>
      <c r="K42" s="132"/>
      <c r="L42" s="126"/>
      <c r="M42" s="126"/>
      <c r="N42" s="126"/>
      <c r="O42" s="126"/>
      <c r="P42" s="126"/>
      <c r="Q42" s="126"/>
      <c r="R42" s="126"/>
      <c r="S42" s="126"/>
      <c r="T42" s="126"/>
      <c r="U42" s="126"/>
      <c r="V42" s="126"/>
      <c r="W42" s="126"/>
      <c r="X42" s="126"/>
      <c r="Y42" s="126"/>
      <c r="Z42" s="126"/>
    </row>
    <row r="43" ht="15.75" customHeight="1">
      <c r="A43" s="127">
        <v>43.0</v>
      </c>
      <c r="B43" s="128" t="s">
        <v>367</v>
      </c>
      <c r="C43" s="129" t="s">
        <v>310</v>
      </c>
      <c r="D43" s="127">
        <v>1500.0</v>
      </c>
      <c r="E43" s="127">
        <v>1000.0</v>
      </c>
      <c r="F43" s="127">
        <f t="shared" si="1"/>
        <v>2500</v>
      </c>
      <c r="G43" s="130">
        <f t="shared" si="2"/>
        <v>2680</v>
      </c>
      <c r="H43" s="129" t="s">
        <v>311</v>
      </c>
      <c r="I43" s="132"/>
      <c r="J43" s="132"/>
      <c r="K43" s="132"/>
      <c r="L43" s="126"/>
      <c r="M43" s="126"/>
      <c r="N43" s="126"/>
      <c r="O43" s="126"/>
      <c r="P43" s="126"/>
      <c r="Q43" s="126"/>
      <c r="R43" s="126"/>
      <c r="S43" s="126"/>
      <c r="T43" s="126"/>
      <c r="U43" s="126"/>
      <c r="V43" s="126"/>
      <c r="W43" s="126"/>
      <c r="X43" s="126"/>
      <c r="Y43" s="126"/>
      <c r="Z43" s="126"/>
    </row>
    <row r="44" ht="15.75" customHeight="1">
      <c r="A44" s="127">
        <v>44.0</v>
      </c>
      <c r="B44" s="128" t="s">
        <v>368</v>
      </c>
      <c r="C44" s="129" t="s">
        <v>310</v>
      </c>
      <c r="D44" s="127">
        <v>1500.0</v>
      </c>
      <c r="E44" s="127">
        <v>1000.0</v>
      </c>
      <c r="F44" s="127">
        <f t="shared" si="1"/>
        <v>2500</v>
      </c>
      <c r="G44" s="130">
        <f t="shared" si="2"/>
        <v>2680</v>
      </c>
      <c r="H44" s="129" t="s">
        <v>311</v>
      </c>
      <c r="I44" s="132"/>
      <c r="J44" s="132"/>
      <c r="K44" s="132"/>
      <c r="L44" s="126"/>
      <c r="M44" s="126"/>
      <c r="N44" s="126"/>
      <c r="O44" s="126"/>
      <c r="P44" s="126"/>
      <c r="Q44" s="126"/>
      <c r="R44" s="126"/>
      <c r="S44" s="126"/>
      <c r="T44" s="126"/>
      <c r="U44" s="126"/>
      <c r="V44" s="126"/>
      <c r="W44" s="126"/>
      <c r="X44" s="126"/>
      <c r="Y44" s="126"/>
      <c r="Z44" s="126"/>
    </row>
    <row r="45" ht="15.75" customHeight="1">
      <c r="A45" s="127">
        <v>45.0</v>
      </c>
      <c r="B45" s="128" t="s">
        <v>369</v>
      </c>
      <c r="C45" s="129" t="s">
        <v>310</v>
      </c>
      <c r="D45" s="127">
        <v>1500.0</v>
      </c>
      <c r="E45" s="127">
        <v>1000.0</v>
      </c>
      <c r="F45" s="127">
        <f t="shared" si="1"/>
        <v>2500</v>
      </c>
      <c r="G45" s="130">
        <f t="shared" si="2"/>
        <v>2680</v>
      </c>
      <c r="H45" s="129" t="s">
        <v>311</v>
      </c>
      <c r="I45" s="132"/>
      <c r="J45" s="132"/>
      <c r="K45" s="132"/>
      <c r="L45" s="126"/>
      <c r="M45" s="126"/>
      <c r="N45" s="126"/>
      <c r="O45" s="126"/>
      <c r="P45" s="126"/>
      <c r="Q45" s="126"/>
      <c r="R45" s="126"/>
      <c r="S45" s="126"/>
      <c r="T45" s="126"/>
      <c r="U45" s="126"/>
      <c r="V45" s="126"/>
      <c r="W45" s="126"/>
      <c r="X45" s="126"/>
      <c r="Y45" s="126"/>
      <c r="Z45" s="126"/>
    </row>
    <row r="46" ht="15.75" customHeight="1">
      <c r="A46" s="127">
        <v>46.0</v>
      </c>
      <c r="B46" s="128" t="s">
        <v>370</v>
      </c>
      <c r="C46" s="129" t="s">
        <v>310</v>
      </c>
      <c r="D46" s="127">
        <v>1500.0</v>
      </c>
      <c r="E46" s="127">
        <v>1000.0</v>
      </c>
      <c r="F46" s="127">
        <f t="shared" si="1"/>
        <v>2500</v>
      </c>
      <c r="G46" s="130">
        <f t="shared" si="2"/>
        <v>2680</v>
      </c>
      <c r="H46" s="129" t="s">
        <v>311</v>
      </c>
      <c r="I46" s="132"/>
      <c r="J46" s="132"/>
      <c r="K46" s="132"/>
      <c r="L46" s="126"/>
      <c r="M46" s="126"/>
      <c r="N46" s="126"/>
      <c r="O46" s="126"/>
      <c r="P46" s="126"/>
      <c r="Q46" s="126"/>
      <c r="R46" s="126"/>
      <c r="S46" s="126"/>
      <c r="T46" s="126"/>
      <c r="U46" s="126"/>
      <c r="V46" s="126"/>
      <c r="W46" s="126"/>
      <c r="X46" s="126"/>
      <c r="Y46" s="126"/>
      <c r="Z46" s="126"/>
    </row>
    <row r="47" ht="15.75" customHeight="1">
      <c r="A47" s="127">
        <v>47.0</v>
      </c>
      <c r="B47" s="128" t="s">
        <v>371</v>
      </c>
      <c r="C47" s="129" t="s">
        <v>310</v>
      </c>
      <c r="D47" s="127">
        <v>1500.0</v>
      </c>
      <c r="E47" s="127">
        <v>1000.0</v>
      </c>
      <c r="F47" s="127">
        <f t="shared" si="1"/>
        <v>2500</v>
      </c>
      <c r="G47" s="130">
        <f t="shared" si="2"/>
        <v>2680</v>
      </c>
      <c r="H47" s="129" t="s">
        <v>311</v>
      </c>
      <c r="I47" s="132"/>
      <c r="J47" s="132"/>
      <c r="K47" s="132"/>
      <c r="L47" s="126"/>
      <c r="M47" s="126"/>
      <c r="N47" s="126"/>
      <c r="O47" s="126"/>
      <c r="P47" s="126"/>
      <c r="Q47" s="126"/>
      <c r="R47" s="126"/>
      <c r="S47" s="126"/>
      <c r="T47" s="126"/>
      <c r="U47" s="126"/>
      <c r="V47" s="126"/>
      <c r="W47" s="126"/>
      <c r="X47" s="126"/>
      <c r="Y47" s="126"/>
      <c r="Z47" s="126"/>
    </row>
    <row r="48" ht="15.75" customHeight="1">
      <c r="A48" s="127">
        <v>48.0</v>
      </c>
      <c r="B48" s="128" t="s">
        <v>372</v>
      </c>
      <c r="C48" s="129" t="s">
        <v>310</v>
      </c>
      <c r="D48" s="127">
        <v>1500.0</v>
      </c>
      <c r="E48" s="127">
        <v>1000.0</v>
      </c>
      <c r="F48" s="127">
        <f t="shared" si="1"/>
        <v>2500</v>
      </c>
      <c r="G48" s="130">
        <f t="shared" si="2"/>
        <v>2680</v>
      </c>
      <c r="H48" s="129" t="s">
        <v>311</v>
      </c>
      <c r="I48" s="132"/>
      <c r="J48" s="132"/>
      <c r="K48" s="132"/>
      <c r="L48" s="126"/>
      <c r="M48" s="126"/>
      <c r="N48" s="126"/>
      <c r="O48" s="126"/>
      <c r="P48" s="126"/>
      <c r="Q48" s="126"/>
      <c r="R48" s="126"/>
      <c r="S48" s="126"/>
      <c r="T48" s="126"/>
      <c r="U48" s="126"/>
      <c r="V48" s="126"/>
      <c r="W48" s="126"/>
      <c r="X48" s="126"/>
      <c r="Y48" s="126"/>
      <c r="Z48" s="126"/>
    </row>
    <row r="49" ht="15.75" customHeight="1">
      <c r="A49" s="127">
        <v>49.0</v>
      </c>
      <c r="B49" s="128" t="s">
        <v>373</v>
      </c>
      <c r="C49" s="129" t="s">
        <v>310</v>
      </c>
      <c r="D49" s="127">
        <v>2000.0</v>
      </c>
      <c r="E49" s="127">
        <v>1000.0</v>
      </c>
      <c r="F49" s="127">
        <f t="shared" si="1"/>
        <v>3000</v>
      </c>
      <c r="G49" s="130">
        <f t="shared" si="2"/>
        <v>3180</v>
      </c>
      <c r="H49" s="129" t="s">
        <v>311</v>
      </c>
      <c r="I49" s="132"/>
      <c r="J49" s="132"/>
      <c r="K49" s="132"/>
      <c r="L49" s="126"/>
      <c r="M49" s="126"/>
      <c r="N49" s="126"/>
      <c r="O49" s="126"/>
      <c r="P49" s="126"/>
      <c r="Q49" s="126"/>
      <c r="R49" s="126"/>
      <c r="S49" s="126"/>
      <c r="T49" s="126"/>
      <c r="U49" s="126"/>
      <c r="V49" s="126"/>
      <c r="W49" s="126"/>
      <c r="X49" s="126"/>
      <c r="Y49" s="126"/>
      <c r="Z49" s="126"/>
    </row>
    <row r="50" ht="15.75" customHeight="1">
      <c r="A50" s="127">
        <v>50.0</v>
      </c>
      <c r="B50" s="128" t="s">
        <v>374</v>
      </c>
      <c r="C50" s="129" t="s">
        <v>310</v>
      </c>
      <c r="D50" s="127">
        <v>2000.0</v>
      </c>
      <c r="E50" s="127">
        <v>1000.0</v>
      </c>
      <c r="F50" s="127">
        <f t="shared" si="1"/>
        <v>3000</v>
      </c>
      <c r="G50" s="130">
        <f t="shared" si="2"/>
        <v>3180</v>
      </c>
      <c r="H50" s="129" t="s">
        <v>311</v>
      </c>
      <c r="I50" s="132"/>
      <c r="J50" s="132"/>
      <c r="K50" s="132"/>
      <c r="L50" s="126"/>
      <c r="M50" s="126"/>
      <c r="N50" s="126"/>
      <c r="O50" s="126"/>
      <c r="P50" s="126"/>
      <c r="Q50" s="126"/>
      <c r="R50" s="126"/>
      <c r="S50" s="126"/>
      <c r="T50" s="126"/>
      <c r="U50" s="126"/>
      <c r="V50" s="126"/>
      <c r="W50" s="126"/>
      <c r="X50" s="126"/>
      <c r="Y50" s="126"/>
      <c r="Z50" s="126"/>
    </row>
    <row r="51" ht="15.75" customHeight="1">
      <c r="A51" s="127">
        <v>51.0</v>
      </c>
      <c r="B51" s="128" t="s">
        <v>375</v>
      </c>
      <c r="C51" s="129" t="s">
        <v>310</v>
      </c>
      <c r="D51" s="127">
        <v>2000.0</v>
      </c>
      <c r="E51" s="127">
        <v>1000.0</v>
      </c>
      <c r="F51" s="127">
        <f t="shared" si="1"/>
        <v>3000</v>
      </c>
      <c r="G51" s="130">
        <f t="shared" si="2"/>
        <v>3180</v>
      </c>
      <c r="H51" s="129" t="s">
        <v>311</v>
      </c>
      <c r="I51" s="132"/>
      <c r="J51" s="132"/>
      <c r="K51" s="132"/>
      <c r="L51" s="126"/>
      <c r="M51" s="126"/>
      <c r="N51" s="126"/>
      <c r="O51" s="126"/>
      <c r="P51" s="126"/>
      <c r="Q51" s="126"/>
      <c r="R51" s="126"/>
      <c r="S51" s="126"/>
      <c r="T51" s="126"/>
      <c r="U51" s="126"/>
      <c r="V51" s="126"/>
      <c r="W51" s="126"/>
      <c r="X51" s="126"/>
      <c r="Y51" s="126"/>
      <c r="Z51" s="126"/>
    </row>
    <row r="52" ht="15.75" customHeight="1">
      <c r="A52" s="127">
        <v>52.0</v>
      </c>
      <c r="B52" s="128" t="s">
        <v>376</v>
      </c>
      <c r="C52" s="129" t="s">
        <v>310</v>
      </c>
      <c r="D52" s="127">
        <v>2000.0</v>
      </c>
      <c r="E52" s="127">
        <v>1000.0</v>
      </c>
      <c r="F52" s="127">
        <f t="shared" si="1"/>
        <v>3000</v>
      </c>
      <c r="G52" s="130">
        <f t="shared" si="2"/>
        <v>3180</v>
      </c>
      <c r="H52" s="129" t="s">
        <v>311</v>
      </c>
      <c r="I52" s="132"/>
      <c r="J52" s="132"/>
      <c r="K52" s="132"/>
      <c r="L52" s="126"/>
      <c r="M52" s="126"/>
      <c r="N52" s="126"/>
      <c r="O52" s="126"/>
      <c r="P52" s="126"/>
      <c r="Q52" s="126"/>
      <c r="R52" s="126"/>
      <c r="S52" s="126"/>
      <c r="T52" s="126"/>
      <c r="U52" s="126"/>
      <c r="V52" s="126"/>
      <c r="W52" s="126"/>
      <c r="X52" s="126"/>
      <c r="Y52" s="126"/>
      <c r="Z52" s="126"/>
    </row>
    <row r="53" ht="15.75" customHeight="1">
      <c r="A53" s="127">
        <v>53.0</v>
      </c>
      <c r="B53" s="128" t="s">
        <v>377</v>
      </c>
      <c r="C53" s="129" t="s">
        <v>310</v>
      </c>
      <c r="D53" s="127">
        <v>2000.0</v>
      </c>
      <c r="E53" s="127">
        <v>1000.0</v>
      </c>
      <c r="F53" s="127">
        <f t="shared" si="1"/>
        <v>3000</v>
      </c>
      <c r="G53" s="130">
        <f t="shared" si="2"/>
        <v>3180</v>
      </c>
      <c r="H53" s="129" t="s">
        <v>311</v>
      </c>
      <c r="I53" s="132"/>
      <c r="J53" s="132"/>
      <c r="K53" s="132"/>
      <c r="L53" s="126"/>
      <c r="M53" s="126"/>
      <c r="N53" s="126"/>
      <c r="O53" s="126"/>
      <c r="P53" s="126"/>
      <c r="Q53" s="126"/>
      <c r="R53" s="126"/>
      <c r="S53" s="126"/>
      <c r="T53" s="126"/>
      <c r="U53" s="126"/>
      <c r="V53" s="126"/>
      <c r="W53" s="126"/>
      <c r="X53" s="126"/>
      <c r="Y53" s="126"/>
      <c r="Z53" s="126"/>
    </row>
    <row r="54" ht="15.75" customHeight="1">
      <c r="A54" s="127">
        <v>54.0</v>
      </c>
      <c r="B54" s="128" t="s">
        <v>378</v>
      </c>
      <c r="C54" s="129" t="s">
        <v>310</v>
      </c>
      <c r="D54" s="127">
        <v>2000.0</v>
      </c>
      <c r="E54" s="127">
        <v>1000.0</v>
      </c>
      <c r="F54" s="127">
        <f t="shared" si="1"/>
        <v>3000</v>
      </c>
      <c r="G54" s="130">
        <f t="shared" si="2"/>
        <v>3180</v>
      </c>
      <c r="H54" s="129" t="s">
        <v>311</v>
      </c>
      <c r="I54" s="132"/>
      <c r="J54" s="132"/>
      <c r="K54" s="132"/>
      <c r="L54" s="126"/>
      <c r="M54" s="126"/>
      <c r="N54" s="126"/>
      <c r="O54" s="126"/>
      <c r="P54" s="126"/>
      <c r="Q54" s="126"/>
      <c r="R54" s="126"/>
      <c r="S54" s="126"/>
      <c r="T54" s="126"/>
      <c r="U54" s="126"/>
      <c r="V54" s="126"/>
      <c r="W54" s="126"/>
      <c r="X54" s="126"/>
      <c r="Y54" s="126"/>
      <c r="Z54" s="126"/>
    </row>
    <row r="55" ht="15.75" customHeight="1">
      <c r="A55" s="127">
        <v>55.0</v>
      </c>
      <c r="B55" s="128" t="s">
        <v>379</v>
      </c>
      <c r="C55" s="129" t="s">
        <v>310</v>
      </c>
      <c r="D55" s="127">
        <v>2000.0</v>
      </c>
      <c r="E55" s="127">
        <v>1000.0</v>
      </c>
      <c r="F55" s="127">
        <f t="shared" si="1"/>
        <v>3000</v>
      </c>
      <c r="G55" s="130">
        <f t="shared" si="2"/>
        <v>3180</v>
      </c>
      <c r="H55" s="129" t="s">
        <v>311</v>
      </c>
      <c r="I55" s="132"/>
      <c r="J55" s="132"/>
      <c r="K55" s="134" t="s">
        <v>380</v>
      </c>
      <c r="L55" s="126"/>
      <c r="M55" s="126"/>
      <c r="N55" s="126"/>
      <c r="O55" s="126"/>
      <c r="P55" s="126"/>
      <c r="Q55" s="126"/>
      <c r="R55" s="126"/>
      <c r="S55" s="126"/>
      <c r="T55" s="126"/>
      <c r="U55" s="126"/>
      <c r="V55" s="126"/>
      <c r="W55" s="126"/>
      <c r="X55" s="126"/>
      <c r="Y55" s="126"/>
      <c r="Z55" s="126"/>
    </row>
    <row r="56" ht="15.75" customHeight="1">
      <c r="A56" s="127">
        <v>56.0</v>
      </c>
      <c r="B56" s="128" t="s">
        <v>381</v>
      </c>
      <c r="C56" s="129" t="s">
        <v>310</v>
      </c>
      <c r="D56" s="127">
        <v>1500.0</v>
      </c>
      <c r="E56" s="127">
        <v>1000.0</v>
      </c>
      <c r="F56" s="127">
        <f t="shared" si="1"/>
        <v>2500</v>
      </c>
      <c r="G56" s="130">
        <f t="shared" si="2"/>
        <v>2680</v>
      </c>
      <c r="H56" s="129" t="s">
        <v>311</v>
      </c>
      <c r="I56" s="132"/>
      <c r="J56" s="132"/>
      <c r="K56" s="134" t="s">
        <v>382</v>
      </c>
      <c r="L56" s="126"/>
      <c r="M56" s="126"/>
      <c r="N56" s="126"/>
      <c r="O56" s="126"/>
      <c r="P56" s="126"/>
      <c r="Q56" s="126"/>
      <c r="R56" s="126"/>
      <c r="S56" s="126"/>
      <c r="T56" s="126"/>
      <c r="U56" s="126"/>
      <c r="V56" s="126"/>
      <c r="W56" s="126"/>
      <c r="X56" s="126"/>
      <c r="Y56" s="126"/>
      <c r="Z56" s="126"/>
    </row>
    <row r="57" ht="15.75" customHeight="1">
      <c r="A57" s="127">
        <v>57.0</v>
      </c>
      <c r="B57" s="128" t="s">
        <v>383</v>
      </c>
      <c r="C57" s="129" t="s">
        <v>310</v>
      </c>
      <c r="D57" s="127">
        <v>2000.0</v>
      </c>
      <c r="E57" s="127">
        <v>1000.0</v>
      </c>
      <c r="F57" s="127">
        <f t="shared" si="1"/>
        <v>3000</v>
      </c>
      <c r="G57" s="130">
        <f t="shared" si="2"/>
        <v>3180</v>
      </c>
      <c r="H57" s="129" t="s">
        <v>311</v>
      </c>
      <c r="I57" s="132"/>
      <c r="J57" s="132"/>
      <c r="K57" s="134" t="s">
        <v>384</v>
      </c>
      <c r="L57" s="126"/>
      <c r="M57" s="126"/>
      <c r="N57" s="126"/>
      <c r="O57" s="126"/>
      <c r="P57" s="126"/>
      <c r="Q57" s="126"/>
      <c r="R57" s="126"/>
      <c r="S57" s="126"/>
      <c r="T57" s="126"/>
      <c r="U57" s="126"/>
      <c r="V57" s="126"/>
      <c r="W57" s="126"/>
      <c r="X57" s="126"/>
      <c r="Y57" s="126"/>
      <c r="Z57" s="126"/>
    </row>
    <row r="58" ht="15.75" customHeight="1">
      <c r="A58" s="127">
        <v>58.0</v>
      </c>
      <c r="B58" s="128" t="s">
        <v>385</v>
      </c>
      <c r="C58" s="129" t="s">
        <v>310</v>
      </c>
      <c r="D58" s="127">
        <v>2000.0</v>
      </c>
      <c r="E58" s="127">
        <v>1000.0</v>
      </c>
      <c r="F58" s="127">
        <f t="shared" si="1"/>
        <v>3000</v>
      </c>
      <c r="G58" s="130">
        <f t="shared" si="2"/>
        <v>3180</v>
      </c>
      <c r="H58" s="129" t="s">
        <v>311</v>
      </c>
      <c r="I58" s="132"/>
      <c r="J58" s="132"/>
      <c r="K58" s="132"/>
      <c r="L58" s="126"/>
      <c r="M58" s="126"/>
      <c r="N58" s="126"/>
      <c r="O58" s="126"/>
      <c r="P58" s="126"/>
      <c r="Q58" s="126"/>
      <c r="R58" s="126"/>
      <c r="S58" s="126"/>
      <c r="T58" s="126"/>
      <c r="U58" s="126"/>
      <c r="V58" s="126"/>
      <c r="W58" s="126"/>
      <c r="X58" s="126"/>
      <c r="Y58" s="126"/>
      <c r="Z58" s="126"/>
    </row>
    <row r="59" ht="15.75" customHeight="1">
      <c r="A59" s="127">
        <v>59.0</v>
      </c>
      <c r="B59" s="128" t="s">
        <v>386</v>
      </c>
      <c r="C59" s="129" t="s">
        <v>310</v>
      </c>
      <c r="D59" s="127">
        <v>1500.0</v>
      </c>
      <c r="E59" s="127">
        <v>1000.0</v>
      </c>
      <c r="F59" s="127">
        <f t="shared" si="1"/>
        <v>2500</v>
      </c>
      <c r="G59" s="130">
        <f t="shared" si="2"/>
        <v>2680</v>
      </c>
      <c r="H59" s="129" t="s">
        <v>311</v>
      </c>
      <c r="I59" s="132"/>
      <c r="J59" s="132"/>
      <c r="K59" s="132"/>
      <c r="L59" s="126"/>
      <c r="M59" s="126"/>
      <c r="N59" s="126"/>
      <c r="O59" s="126"/>
      <c r="P59" s="126"/>
      <c r="Q59" s="126"/>
      <c r="R59" s="126"/>
      <c r="S59" s="126"/>
      <c r="T59" s="126"/>
      <c r="U59" s="126"/>
      <c r="V59" s="126"/>
      <c r="W59" s="126"/>
      <c r="X59" s="126"/>
      <c r="Y59" s="126"/>
      <c r="Z59" s="126"/>
    </row>
    <row r="60" ht="15.75" customHeight="1">
      <c r="A60" s="127">
        <v>60.0</v>
      </c>
      <c r="B60" s="128" t="s">
        <v>387</v>
      </c>
      <c r="C60" s="129" t="s">
        <v>310</v>
      </c>
      <c r="D60" s="127">
        <v>1500.0</v>
      </c>
      <c r="E60" s="127">
        <v>1000.0</v>
      </c>
      <c r="F60" s="127">
        <f t="shared" si="1"/>
        <v>2500</v>
      </c>
      <c r="G60" s="130">
        <f t="shared" si="2"/>
        <v>2680</v>
      </c>
      <c r="H60" s="129" t="s">
        <v>311</v>
      </c>
      <c r="I60" s="132"/>
      <c r="J60" s="132"/>
      <c r="K60" s="132"/>
      <c r="L60" s="126"/>
      <c r="M60" s="126"/>
      <c r="N60" s="126"/>
      <c r="O60" s="126"/>
      <c r="P60" s="126"/>
      <c r="Q60" s="126"/>
      <c r="R60" s="126"/>
      <c r="S60" s="126"/>
      <c r="T60" s="126"/>
      <c r="U60" s="126"/>
      <c r="V60" s="126"/>
      <c r="W60" s="126"/>
      <c r="X60" s="126"/>
      <c r="Y60" s="126"/>
      <c r="Z60" s="126"/>
    </row>
    <row r="61" ht="15.75" customHeight="1">
      <c r="A61" s="127">
        <v>61.0</v>
      </c>
      <c r="B61" s="128" t="s">
        <v>388</v>
      </c>
      <c r="C61" s="129" t="s">
        <v>310</v>
      </c>
      <c r="D61" s="127">
        <v>2000.0</v>
      </c>
      <c r="E61" s="127">
        <v>1000.0</v>
      </c>
      <c r="F61" s="127">
        <f t="shared" si="1"/>
        <v>3000</v>
      </c>
      <c r="G61" s="130">
        <f t="shared" si="2"/>
        <v>3180</v>
      </c>
      <c r="H61" s="129" t="s">
        <v>311</v>
      </c>
      <c r="I61" s="132"/>
      <c r="J61" s="132"/>
      <c r="K61" s="132"/>
      <c r="L61" s="126"/>
      <c r="M61" s="126"/>
      <c r="N61" s="126"/>
      <c r="O61" s="126"/>
      <c r="P61" s="126"/>
      <c r="Q61" s="126"/>
      <c r="R61" s="126"/>
      <c r="S61" s="126"/>
      <c r="T61" s="126"/>
      <c r="U61" s="126"/>
      <c r="V61" s="126"/>
      <c r="W61" s="126"/>
      <c r="X61" s="126"/>
      <c r="Y61" s="126"/>
      <c r="Z61" s="126"/>
    </row>
    <row r="62" ht="15.75" customHeight="1">
      <c r="A62" s="127">
        <v>62.0</v>
      </c>
      <c r="B62" s="128" t="s">
        <v>389</v>
      </c>
      <c r="C62" s="129" t="s">
        <v>310</v>
      </c>
      <c r="D62" s="127">
        <v>2000.0</v>
      </c>
      <c r="E62" s="127">
        <v>1000.0</v>
      </c>
      <c r="F62" s="127">
        <f t="shared" si="1"/>
        <v>3000</v>
      </c>
      <c r="G62" s="130">
        <f t="shared" si="2"/>
        <v>3180</v>
      </c>
      <c r="H62" s="129" t="s">
        <v>311</v>
      </c>
      <c r="I62" s="132"/>
      <c r="J62" s="132"/>
      <c r="K62" s="132"/>
      <c r="L62" s="126"/>
      <c r="M62" s="126"/>
      <c r="N62" s="126"/>
      <c r="O62" s="126"/>
      <c r="P62" s="126"/>
      <c r="Q62" s="126"/>
      <c r="R62" s="126"/>
      <c r="S62" s="126"/>
      <c r="T62" s="126"/>
      <c r="U62" s="126"/>
      <c r="V62" s="126"/>
      <c r="W62" s="126"/>
      <c r="X62" s="126"/>
      <c r="Y62" s="126"/>
      <c r="Z62" s="126"/>
    </row>
    <row r="63" ht="15.75" customHeight="1">
      <c r="A63" s="127">
        <v>63.0</v>
      </c>
      <c r="B63" s="128" t="s">
        <v>390</v>
      </c>
      <c r="C63" s="129" t="s">
        <v>310</v>
      </c>
      <c r="D63" s="127">
        <v>2000.0</v>
      </c>
      <c r="E63" s="127">
        <v>1000.0</v>
      </c>
      <c r="F63" s="127">
        <f t="shared" si="1"/>
        <v>3000</v>
      </c>
      <c r="G63" s="130">
        <f t="shared" si="2"/>
        <v>3180</v>
      </c>
      <c r="H63" s="129" t="s">
        <v>311</v>
      </c>
      <c r="I63" s="132"/>
      <c r="J63" s="132"/>
      <c r="K63" s="132"/>
      <c r="L63" s="126"/>
      <c r="M63" s="126"/>
      <c r="N63" s="126"/>
      <c r="O63" s="126"/>
      <c r="P63" s="126"/>
      <c r="Q63" s="126"/>
      <c r="R63" s="126"/>
      <c r="S63" s="126"/>
      <c r="T63" s="126"/>
      <c r="U63" s="126"/>
      <c r="V63" s="126"/>
      <c r="W63" s="126"/>
      <c r="X63" s="126"/>
      <c r="Y63" s="126"/>
      <c r="Z63" s="126"/>
    </row>
    <row r="64" ht="15.75" customHeight="1">
      <c r="A64" s="127">
        <v>64.0</v>
      </c>
      <c r="B64" s="133" t="s">
        <v>391</v>
      </c>
      <c r="C64" s="129" t="s">
        <v>310</v>
      </c>
      <c r="D64" s="127">
        <v>1500.0</v>
      </c>
      <c r="E64" s="127">
        <v>1000.0</v>
      </c>
      <c r="F64" s="127">
        <f t="shared" si="1"/>
        <v>2500</v>
      </c>
      <c r="G64" s="130">
        <f t="shared" si="2"/>
        <v>2680</v>
      </c>
      <c r="H64" s="129" t="s">
        <v>311</v>
      </c>
      <c r="I64" s="132"/>
      <c r="J64" s="132"/>
      <c r="K64" s="132"/>
      <c r="L64" s="126"/>
      <c r="M64" s="126"/>
      <c r="N64" s="126"/>
      <c r="O64" s="126"/>
      <c r="P64" s="126"/>
      <c r="Q64" s="126"/>
      <c r="R64" s="126"/>
      <c r="S64" s="126"/>
      <c r="T64" s="126"/>
      <c r="U64" s="126"/>
      <c r="V64" s="126"/>
      <c r="W64" s="126"/>
      <c r="X64" s="126"/>
      <c r="Y64" s="126"/>
      <c r="Z64" s="126"/>
    </row>
    <row r="65" ht="15.75" customHeight="1">
      <c r="A65" s="138">
        <v>65.0</v>
      </c>
      <c r="B65" s="139" t="s">
        <v>392</v>
      </c>
      <c r="C65" s="140" t="s">
        <v>310</v>
      </c>
      <c r="D65" s="138">
        <v>1500.0</v>
      </c>
      <c r="E65" s="138">
        <v>1000.0</v>
      </c>
      <c r="F65" s="138">
        <f t="shared" si="1"/>
        <v>2500</v>
      </c>
      <c r="G65" s="141">
        <f t="shared" si="2"/>
        <v>2680</v>
      </c>
      <c r="H65" s="140" t="s">
        <v>311</v>
      </c>
      <c r="I65" s="126"/>
      <c r="J65" s="126"/>
      <c r="K65" s="126"/>
      <c r="L65" s="126"/>
      <c r="M65" s="126"/>
      <c r="N65" s="126"/>
      <c r="O65" s="126"/>
      <c r="P65" s="126"/>
      <c r="Q65" s="126"/>
      <c r="R65" s="126"/>
      <c r="S65" s="126"/>
      <c r="T65" s="126"/>
      <c r="U65" s="126"/>
      <c r="V65" s="126"/>
      <c r="W65" s="126"/>
      <c r="X65" s="126"/>
      <c r="Y65" s="126"/>
      <c r="Z65" s="126"/>
    </row>
    <row r="66" ht="15.75" customHeight="1">
      <c r="A66" s="126"/>
      <c r="B66" s="126"/>
      <c r="C66" s="126"/>
      <c r="D66" s="126"/>
      <c r="E66" s="126"/>
      <c r="F66" s="126"/>
      <c r="G66" s="126"/>
      <c r="H66" s="126"/>
      <c r="I66" s="126"/>
      <c r="J66" s="126"/>
      <c r="K66" s="126"/>
      <c r="L66" s="126"/>
      <c r="M66" s="126"/>
      <c r="N66" s="126"/>
      <c r="O66" s="126"/>
      <c r="P66" s="126"/>
      <c r="Q66" s="126"/>
      <c r="R66" s="126"/>
      <c r="S66" s="126"/>
      <c r="T66" s="126"/>
      <c r="U66" s="126"/>
      <c r="V66" s="126"/>
      <c r="W66" s="126"/>
      <c r="X66" s="126"/>
      <c r="Y66" s="126"/>
      <c r="Z66" s="126"/>
    </row>
    <row r="67" ht="15.75" customHeight="1">
      <c r="A67" s="126"/>
      <c r="B67" s="126"/>
      <c r="C67" s="126"/>
      <c r="D67" s="126"/>
      <c r="E67" s="126"/>
      <c r="F67" s="126"/>
      <c r="G67" s="126"/>
      <c r="H67" s="126"/>
      <c r="I67" s="126"/>
      <c r="J67" s="126"/>
      <c r="K67" s="126"/>
      <c r="L67" s="126"/>
      <c r="M67" s="126"/>
      <c r="N67" s="126"/>
      <c r="O67" s="126"/>
      <c r="P67" s="126"/>
      <c r="Q67" s="126"/>
      <c r="R67" s="126"/>
      <c r="S67" s="126"/>
      <c r="T67" s="126"/>
      <c r="U67" s="126"/>
      <c r="V67" s="126"/>
      <c r="W67" s="126"/>
      <c r="X67" s="126"/>
      <c r="Y67" s="126"/>
      <c r="Z67" s="126"/>
    </row>
    <row r="68" ht="15.75" customHeight="1">
      <c r="A68" s="126"/>
      <c r="B68" s="126"/>
      <c r="C68" s="126"/>
      <c r="D68" s="126"/>
      <c r="E68" s="126"/>
      <c r="F68" s="126"/>
      <c r="G68" s="126"/>
      <c r="H68" s="126"/>
      <c r="I68" s="126"/>
      <c r="J68" s="126"/>
      <c r="K68" s="126"/>
      <c r="L68" s="126"/>
      <c r="M68" s="126"/>
      <c r="N68" s="126"/>
      <c r="O68" s="126"/>
      <c r="P68" s="126"/>
      <c r="Q68" s="126"/>
      <c r="R68" s="126"/>
      <c r="S68" s="126"/>
      <c r="T68" s="126"/>
      <c r="U68" s="126"/>
      <c r="V68" s="126"/>
      <c r="W68" s="126"/>
      <c r="X68" s="126"/>
      <c r="Y68" s="126"/>
      <c r="Z68" s="126"/>
    </row>
    <row r="69" ht="15.75" customHeight="1">
      <c r="A69" s="122"/>
      <c r="B69" s="123" t="s">
        <v>393</v>
      </c>
      <c r="C69" s="2" t="s">
        <v>3</v>
      </c>
      <c r="D69" s="3" t="s">
        <v>4</v>
      </c>
      <c r="E69" s="124" t="s">
        <v>5</v>
      </c>
      <c r="F69" s="3" t="s">
        <v>180</v>
      </c>
      <c r="G69" s="2" t="s">
        <v>181</v>
      </c>
      <c r="H69" s="2" t="s">
        <v>6</v>
      </c>
      <c r="I69" s="142" t="s">
        <v>394</v>
      </c>
      <c r="J69" s="126"/>
      <c r="K69" s="126"/>
      <c r="L69" s="126"/>
      <c r="M69" s="126"/>
      <c r="N69" s="126"/>
      <c r="O69" s="126"/>
      <c r="P69" s="126"/>
      <c r="Q69" s="126"/>
      <c r="R69" s="126"/>
      <c r="S69" s="126"/>
      <c r="T69" s="126"/>
      <c r="U69" s="126"/>
      <c r="V69" s="126"/>
      <c r="W69" s="126"/>
      <c r="X69" s="126"/>
      <c r="Y69" s="126"/>
      <c r="Z69" s="126"/>
    </row>
    <row r="70" ht="15.75" customHeight="1">
      <c r="A70" s="127">
        <v>1.0</v>
      </c>
      <c r="B70" s="128" t="s">
        <v>309</v>
      </c>
      <c r="C70" s="129" t="s">
        <v>310</v>
      </c>
      <c r="D70" s="127">
        <v>1500.0</v>
      </c>
      <c r="E70" s="127">
        <v>1000.0</v>
      </c>
      <c r="F70" s="127">
        <f t="shared" ref="F70:F75" si="3">SUM(D70:E70)</f>
        <v>2500</v>
      </c>
      <c r="G70" s="130">
        <f t="shared" ref="G70:G75" si="4">(18/100)*E70+(D70+E70)</f>
        <v>2680</v>
      </c>
      <c r="H70" s="129" t="s">
        <v>311</v>
      </c>
      <c r="I70" s="142" t="s">
        <v>395</v>
      </c>
      <c r="J70" s="126"/>
      <c r="K70" s="126"/>
      <c r="L70" s="126"/>
      <c r="M70" s="126"/>
      <c r="N70" s="126"/>
      <c r="O70" s="126"/>
      <c r="P70" s="126"/>
      <c r="Q70" s="126"/>
      <c r="R70" s="126"/>
      <c r="S70" s="126"/>
      <c r="T70" s="126"/>
      <c r="U70" s="126"/>
      <c r="V70" s="126"/>
      <c r="W70" s="126"/>
      <c r="X70" s="126"/>
      <c r="Y70" s="126"/>
      <c r="Z70" s="126"/>
    </row>
    <row r="71" ht="15.75" customHeight="1">
      <c r="A71" s="127">
        <v>2.0</v>
      </c>
      <c r="B71" s="128" t="s">
        <v>313</v>
      </c>
      <c r="C71" s="129" t="s">
        <v>310</v>
      </c>
      <c r="D71" s="127">
        <v>2000.0</v>
      </c>
      <c r="E71" s="127">
        <v>1000.0</v>
      </c>
      <c r="F71" s="127">
        <f t="shared" si="3"/>
        <v>3000</v>
      </c>
      <c r="G71" s="130">
        <f t="shared" si="4"/>
        <v>3180</v>
      </c>
      <c r="H71" s="129" t="s">
        <v>311</v>
      </c>
      <c r="I71" s="143" t="s">
        <v>396</v>
      </c>
      <c r="J71" s="126"/>
      <c r="K71" s="126"/>
      <c r="L71" s="126"/>
      <c r="M71" s="126"/>
      <c r="N71" s="126"/>
      <c r="O71" s="126"/>
      <c r="P71" s="126"/>
      <c r="Q71" s="126"/>
      <c r="R71" s="126"/>
      <c r="S71" s="126"/>
      <c r="T71" s="126"/>
      <c r="U71" s="126"/>
      <c r="V71" s="126"/>
      <c r="W71" s="126"/>
      <c r="X71" s="126"/>
      <c r="Y71" s="126"/>
      <c r="Z71" s="126"/>
    </row>
    <row r="72" ht="15.75" customHeight="1">
      <c r="A72" s="127">
        <v>3.0</v>
      </c>
      <c r="B72" s="128" t="s">
        <v>315</v>
      </c>
      <c r="C72" s="129" t="s">
        <v>310</v>
      </c>
      <c r="D72" s="127">
        <v>2500.0</v>
      </c>
      <c r="E72" s="127">
        <v>1000.0</v>
      </c>
      <c r="F72" s="127">
        <f t="shared" si="3"/>
        <v>3500</v>
      </c>
      <c r="G72" s="130">
        <f t="shared" si="4"/>
        <v>3680</v>
      </c>
      <c r="H72" s="129" t="s">
        <v>311</v>
      </c>
      <c r="I72" s="143" t="s">
        <v>397</v>
      </c>
      <c r="K72" s="126"/>
      <c r="L72" s="126"/>
      <c r="M72" s="126"/>
      <c r="N72" s="126"/>
      <c r="O72" s="126"/>
      <c r="P72" s="126"/>
      <c r="Q72" s="126"/>
      <c r="R72" s="126"/>
      <c r="S72" s="126"/>
      <c r="T72" s="126"/>
      <c r="U72" s="126"/>
      <c r="V72" s="126"/>
      <c r="W72" s="126"/>
      <c r="X72" s="126"/>
      <c r="Y72" s="126"/>
      <c r="Z72" s="126"/>
    </row>
    <row r="73" ht="15.75" customHeight="1">
      <c r="A73" s="127">
        <v>4.0</v>
      </c>
      <c r="B73" s="128" t="s">
        <v>316</v>
      </c>
      <c r="C73" s="129" t="s">
        <v>310</v>
      </c>
      <c r="D73" s="127">
        <v>6000.0</v>
      </c>
      <c r="E73" s="127">
        <v>2000.0</v>
      </c>
      <c r="F73" s="127">
        <f t="shared" si="3"/>
        <v>8000</v>
      </c>
      <c r="G73" s="130">
        <f t="shared" si="4"/>
        <v>8360</v>
      </c>
      <c r="H73" s="129" t="s">
        <v>311</v>
      </c>
      <c r="I73" s="143" t="s">
        <v>398</v>
      </c>
      <c r="J73" s="144" t="s">
        <v>399</v>
      </c>
      <c r="K73" s="126"/>
      <c r="L73" s="126"/>
      <c r="M73" s="126"/>
      <c r="N73" s="126"/>
      <c r="O73" s="126"/>
      <c r="P73" s="126"/>
      <c r="Q73" s="126"/>
      <c r="R73" s="126"/>
      <c r="S73" s="126"/>
      <c r="T73" s="126"/>
      <c r="U73" s="126"/>
      <c r="V73" s="126"/>
      <c r="W73" s="126"/>
      <c r="X73" s="126"/>
      <c r="Y73" s="126"/>
      <c r="Z73" s="126"/>
    </row>
    <row r="74" ht="15.75" customHeight="1">
      <c r="A74" s="127">
        <v>5.0</v>
      </c>
      <c r="B74" s="128" t="s">
        <v>318</v>
      </c>
      <c r="C74" s="129" t="s">
        <v>310</v>
      </c>
      <c r="D74" s="127">
        <v>8000.0</v>
      </c>
      <c r="E74" s="127">
        <v>2000.0</v>
      </c>
      <c r="F74" s="127">
        <f t="shared" si="3"/>
        <v>10000</v>
      </c>
      <c r="G74" s="130">
        <f t="shared" si="4"/>
        <v>10360</v>
      </c>
      <c r="H74" s="129" t="s">
        <v>311</v>
      </c>
      <c r="I74" s="143" t="s">
        <v>400</v>
      </c>
      <c r="J74" s="144" t="s">
        <v>401</v>
      </c>
      <c r="K74" s="126"/>
      <c r="L74" s="126"/>
      <c r="M74" s="126"/>
      <c r="N74" s="126"/>
      <c r="O74" s="126"/>
      <c r="P74" s="126"/>
      <c r="Q74" s="126"/>
      <c r="R74" s="126"/>
      <c r="S74" s="126"/>
      <c r="T74" s="126"/>
      <c r="U74" s="126"/>
      <c r="V74" s="126"/>
      <c r="W74" s="126"/>
      <c r="X74" s="126"/>
      <c r="Y74" s="126"/>
      <c r="Z74" s="126"/>
    </row>
    <row r="75" ht="15.75" customHeight="1">
      <c r="A75" s="127">
        <v>6.0</v>
      </c>
      <c r="B75" s="128" t="s">
        <v>321</v>
      </c>
      <c r="C75" s="129" t="s">
        <v>310</v>
      </c>
      <c r="D75" s="127">
        <v>16000.0</v>
      </c>
      <c r="E75" s="127">
        <v>2000.0</v>
      </c>
      <c r="F75" s="127">
        <f t="shared" si="3"/>
        <v>18000</v>
      </c>
      <c r="G75" s="130">
        <f t="shared" si="4"/>
        <v>18360</v>
      </c>
      <c r="H75" s="129" t="s">
        <v>311</v>
      </c>
      <c r="I75" s="16" t="s">
        <v>402</v>
      </c>
      <c r="K75" s="126"/>
      <c r="L75" s="126"/>
      <c r="M75" s="126"/>
      <c r="N75" s="126"/>
      <c r="O75" s="126"/>
      <c r="P75" s="126"/>
      <c r="Q75" s="126"/>
      <c r="R75" s="126"/>
      <c r="S75" s="126"/>
      <c r="T75" s="126"/>
      <c r="U75" s="126"/>
      <c r="V75" s="126"/>
      <c r="W75" s="126"/>
      <c r="X75" s="126"/>
      <c r="Y75" s="126"/>
      <c r="Z75" s="126"/>
    </row>
    <row r="76" ht="15.75" customHeight="1">
      <c r="A76" s="126"/>
      <c r="B76" s="126"/>
      <c r="C76" s="126"/>
      <c r="D76" s="126"/>
      <c r="E76" s="126"/>
      <c r="F76" s="126"/>
      <c r="G76" s="126"/>
      <c r="H76" s="126"/>
      <c r="I76" s="143"/>
      <c r="J76" s="126"/>
      <c r="K76" s="126"/>
      <c r="L76" s="126"/>
      <c r="M76" s="126"/>
      <c r="N76" s="126"/>
      <c r="O76" s="126"/>
      <c r="P76" s="126"/>
      <c r="Q76" s="126"/>
      <c r="R76" s="126"/>
      <c r="S76" s="126"/>
      <c r="T76" s="126"/>
      <c r="U76" s="126"/>
      <c r="V76" s="126"/>
      <c r="W76" s="126"/>
      <c r="X76" s="126"/>
      <c r="Y76" s="126"/>
      <c r="Z76" s="126"/>
    </row>
    <row r="77" ht="15.75" customHeight="1">
      <c r="A77" s="126"/>
      <c r="B77" s="126"/>
      <c r="C77" s="126"/>
      <c r="D77" s="126"/>
      <c r="E77" s="126"/>
      <c r="F77" s="126"/>
      <c r="G77" s="126"/>
      <c r="H77" s="126"/>
      <c r="I77" s="126"/>
      <c r="J77" s="126"/>
      <c r="K77" s="126"/>
      <c r="L77" s="126"/>
      <c r="M77" s="126"/>
      <c r="N77" s="126"/>
      <c r="O77" s="126"/>
      <c r="P77" s="126"/>
      <c r="Q77" s="126"/>
      <c r="R77" s="126"/>
      <c r="S77" s="126"/>
      <c r="T77" s="126"/>
      <c r="U77" s="126"/>
      <c r="V77" s="126"/>
      <c r="W77" s="126"/>
      <c r="X77" s="126"/>
      <c r="Y77" s="126"/>
      <c r="Z77" s="126"/>
    </row>
    <row r="78" ht="15.75" customHeight="1">
      <c r="A78" s="122"/>
      <c r="B78" s="123" t="s">
        <v>403</v>
      </c>
      <c r="C78" s="2" t="s">
        <v>3</v>
      </c>
      <c r="D78" s="3" t="s">
        <v>4</v>
      </c>
      <c r="E78" s="124" t="s">
        <v>5</v>
      </c>
      <c r="F78" s="3" t="s">
        <v>180</v>
      </c>
      <c r="G78" s="2" t="s">
        <v>181</v>
      </c>
      <c r="H78" s="2" t="s">
        <v>6</v>
      </c>
      <c r="I78" s="142" t="s">
        <v>404</v>
      </c>
      <c r="J78" s="143" t="s">
        <v>405</v>
      </c>
      <c r="K78" s="126"/>
      <c r="L78" s="126"/>
      <c r="M78" s="126"/>
      <c r="N78" s="126"/>
      <c r="O78" s="126"/>
      <c r="P78" s="126"/>
      <c r="Q78" s="126"/>
      <c r="R78" s="126"/>
      <c r="S78" s="126"/>
      <c r="T78" s="126"/>
      <c r="U78" s="126"/>
      <c r="V78" s="126"/>
      <c r="W78" s="126"/>
      <c r="X78" s="126"/>
      <c r="Y78" s="126"/>
      <c r="Z78" s="126"/>
    </row>
    <row r="79" ht="15.75" customHeight="1">
      <c r="A79" s="127">
        <v>1.0</v>
      </c>
      <c r="B79" s="128" t="s">
        <v>309</v>
      </c>
      <c r="C79" s="129" t="s">
        <v>310</v>
      </c>
      <c r="D79" s="127">
        <v>3000.0</v>
      </c>
      <c r="E79" s="127">
        <v>1000.0</v>
      </c>
      <c r="F79" s="127">
        <f t="shared" ref="F79:F84" si="5">SUM(D79:E79)</f>
        <v>4000</v>
      </c>
      <c r="G79" s="130">
        <f t="shared" ref="G79:G84" si="6">(18/100)*E79+(D79+E79)</f>
        <v>4180</v>
      </c>
      <c r="H79" s="129" t="s">
        <v>311</v>
      </c>
      <c r="I79" s="142" t="s">
        <v>395</v>
      </c>
      <c r="J79" s="126"/>
      <c r="K79" s="126"/>
      <c r="L79" s="126"/>
      <c r="M79" s="126"/>
      <c r="N79" s="126"/>
      <c r="O79" s="126"/>
      <c r="P79" s="126"/>
      <c r="Q79" s="126"/>
      <c r="R79" s="126"/>
      <c r="S79" s="126"/>
      <c r="T79" s="126"/>
      <c r="U79" s="126"/>
      <c r="V79" s="126"/>
      <c r="W79" s="126"/>
      <c r="X79" s="126"/>
      <c r="Y79" s="126"/>
      <c r="Z79" s="126"/>
    </row>
    <row r="80" ht="15.75" customHeight="1">
      <c r="A80" s="127">
        <v>2.0</v>
      </c>
      <c r="B80" s="128" t="s">
        <v>313</v>
      </c>
      <c r="C80" s="129" t="s">
        <v>310</v>
      </c>
      <c r="D80" s="127">
        <v>4000.0</v>
      </c>
      <c r="E80" s="127">
        <v>1000.0</v>
      </c>
      <c r="F80" s="127">
        <f t="shared" si="5"/>
        <v>5000</v>
      </c>
      <c r="G80" s="130">
        <f t="shared" si="6"/>
        <v>5180</v>
      </c>
      <c r="H80" s="129" t="s">
        <v>311</v>
      </c>
      <c r="I80" s="143" t="s">
        <v>406</v>
      </c>
      <c r="J80" s="144" t="s">
        <v>407</v>
      </c>
      <c r="K80" s="126"/>
      <c r="L80" s="126"/>
      <c r="M80" s="126"/>
      <c r="N80" s="126"/>
      <c r="O80" s="126"/>
      <c r="P80" s="126"/>
      <c r="Q80" s="126"/>
      <c r="R80" s="126"/>
      <c r="S80" s="126"/>
      <c r="T80" s="126"/>
      <c r="U80" s="126"/>
      <c r="V80" s="126"/>
      <c r="W80" s="126"/>
      <c r="X80" s="126"/>
      <c r="Y80" s="126"/>
      <c r="Z80" s="126"/>
    </row>
    <row r="81" ht="15.75" customHeight="1">
      <c r="A81" s="127">
        <v>3.0</v>
      </c>
      <c r="B81" s="128" t="s">
        <v>315</v>
      </c>
      <c r="C81" s="129" t="s">
        <v>310</v>
      </c>
      <c r="D81" s="127">
        <v>5000.0</v>
      </c>
      <c r="E81" s="127">
        <v>1000.0</v>
      </c>
      <c r="F81" s="127">
        <f t="shared" si="5"/>
        <v>6000</v>
      </c>
      <c r="G81" s="130">
        <f t="shared" si="6"/>
        <v>6180</v>
      </c>
      <c r="H81" s="129" t="s">
        <v>311</v>
      </c>
      <c r="I81" s="126"/>
      <c r="J81" s="126"/>
      <c r="K81" s="126"/>
      <c r="L81" s="126"/>
      <c r="M81" s="126"/>
      <c r="N81" s="126"/>
      <c r="O81" s="126"/>
      <c r="P81" s="126"/>
      <c r="Q81" s="126"/>
      <c r="R81" s="126"/>
      <c r="S81" s="126"/>
      <c r="T81" s="126"/>
      <c r="U81" s="126"/>
      <c r="V81" s="126"/>
      <c r="W81" s="126"/>
      <c r="X81" s="126"/>
      <c r="Y81" s="126"/>
      <c r="Z81" s="126"/>
    </row>
    <row r="82" ht="15.75" customHeight="1">
      <c r="A82" s="127">
        <v>4.0</v>
      </c>
      <c r="B82" s="128" t="s">
        <v>316</v>
      </c>
      <c r="C82" s="129" t="s">
        <v>310</v>
      </c>
      <c r="D82" s="127">
        <v>5500.0</v>
      </c>
      <c r="E82" s="127">
        <v>2000.0</v>
      </c>
      <c r="F82" s="127">
        <f t="shared" si="5"/>
        <v>7500</v>
      </c>
      <c r="G82" s="130">
        <f t="shared" si="6"/>
        <v>7860</v>
      </c>
      <c r="H82" s="129" t="s">
        <v>311</v>
      </c>
      <c r="I82" s="126"/>
      <c r="J82" s="126"/>
      <c r="K82" s="126"/>
      <c r="L82" s="126"/>
      <c r="M82" s="126"/>
      <c r="N82" s="126"/>
      <c r="O82" s="126"/>
      <c r="P82" s="126"/>
      <c r="Q82" s="126"/>
      <c r="R82" s="126"/>
      <c r="S82" s="126"/>
      <c r="T82" s="126"/>
      <c r="U82" s="126"/>
      <c r="V82" s="126"/>
      <c r="W82" s="126"/>
      <c r="X82" s="126"/>
      <c r="Y82" s="126"/>
      <c r="Z82" s="126"/>
    </row>
    <row r="83" ht="15.75" customHeight="1">
      <c r="A83" s="127">
        <v>5.0</v>
      </c>
      <c r="B83" s="128" t="s">
        <v>318</v>
      </c>
      <c r="C83" s="129" t="s">
        <v>310</v>
      </c>
      <c r="D83" s="127">
        <v>9000.0</v>
      </c>
      <c r="E83" s="127">
        <v>2000.0</v>
      </c>
      <c r="F83" s="127">
        <f t="shared" si="5"/>
        <v>11000</v>
      </c>
      <c r="G83" s="130">
        <f t="shared" si="6"/>
        <v>11360</v>
      </c>
      <c r="H83" s="129" t="s">
        <v>311</v>
      </c>
      <c r="I83" s="143" t="s">
        <v>408</v>
      </c>
      <c r="J83" s="126"/>
      <c r="K83" s="126"/>
      <c r="L83" s="126"/>
      <c r="M83" s="126"/>
      <c r="N83" s="126"/>
      <c r="O83" s="126"/>
      <c r="P83" s="126"/>
      <c r="Q83" s="126"/>
      <c r="R83" s="126"/>
      <c r="S83" s="126"/>
      <c r="T83" s="126"/>
      <c r="U83" s="126"/>
      <c r="V83" s="126"/>
      <c r="W83" s="126"/>
      <c r="X83" s="126"/>
      <c r="Y83" s="126"/>
      <c r="Z83" s="126"/>
    </row>
    <row r="84" ht="15.75" customHeight="1">
      <c r="A84" s="127">
        <v>6.0</v>
      </c>
      <c r="B84" s="128" t="s">
        <v>321</v>
      </c>
      <c r="C84" s="129" t="s">
        <v>310</v>
      </c>
      <c r="D84" s="127">
        <v>20000.0</v>
      </c>
      <c r="E84" s="127">
        <v>2000.0</v>
      </c>
      <c r="F84" s="127">
        <f t="shared" si="5"/>
        <v>22000</v>
      </c>
      <c r="G84" s="130">
        <f t="shared" si="6"/>
        <v>22360</v>
      </c>
      <c r="H84" s="129" t="s">
        <v>311</v>
      </c>
      <c r="I84" s="145" t="s">
        <v>409</v>
      </c>
      <c r="J84" s="126"/>
      <c r="K84" s="126"/>
      <c r="L84" s="126"/>
      <c r="M84" s="126"/>
      <c r="N84" s="126"/>
      <c r="O84" s="126"/>
      <c r="P84" s="126"/>
      <c r="Q84" s="126"/>
      <c r="R84" s="126"/>
      <c r="S84" s="126"/>
      <c r="T84" s="126"/>
      <c r="U84" s="126"/>
      <c r="V84" s="126"/>
      <c r="W84" s="126"/>
      <c r="X84" s="126"/>
      <c r="Y84" s="126"/>
      <c r="Z84" s="126"/>
    </row>
    <row r="85" ht="15.75" customHeight="1">
      <c r="A85" s="126"/>
      <c r="B85" s="126"/>
      <c r="C85" s="126"/>
      <c r="D85" s="126"/>
      <c r="E85" s="126"/>
      <c r="F85" s="126"/>
      <c r="G85" s="126"/>
      <c r="H85" s="126"/>
      <c r="I85" s="126"/>
      <c r="J85" s="126"/>
      <c r="K85" s="126"/>
      <c r="L85" s="126"/>
      <c r="M85" s="126"/>
      <c r="N85" s="126"/>
      <c r="O85" s="126"/>
      <c r="P85" s="126"/>
      <c r="Q85" s="126"/>
      <c r="R85" s="126"/>
      <c r="S85" s="126"/>
      <c r="T85" s="126"/>
      <c r="U85" s="126"/>
      <c r="V85" s="126"/>
      <c r="W85" s="126"/>
      <c r="X85" s="126"/>
      <c r="Y85" s="126"/>
      <c r="Z85" s="126"/>
    </row>
    <row r="86" ht="15.75" customHeight="1">
      <c r="A86" s="126"/>
      <c r="B86" s="126"/>
      <c r="C86" s="126"/>
      <c r="D86" s="126"/>
      <c r="E86" s="126"/>
      <c r="F86" s="126"/>
      <c r="H86" s="126"/>
      <c r="I86" s="126"/>
      <c r="J86" s="126"/>
      <c r="K86" s="126"/>
      <c r="L86" s="126"/>
      <c r="M86" s="126"/>
      <c r="N86" s="126"/>
      <c r="O86" s="126"/>
      <c r="P86" s="126"/>
      <c r="Q86" s="126"/>
      <c r="R86" s="126"/>
      <c r="S86" s="126"/>
      <c r="T86" s="126"/>
      <c r="U86" s="126"/>
      <c r="V86" s="126"/>
      <c r="W86" s="126"/>
      <c r="X86" s="126"/>
      <c r="Y86" s="126"/>
      <c r="Z86" s="126"/>
    </row>
    <row r="87" ht="15.75" customHeight="1">
      <c r="A87" s="126"/>
      <c r="C87" s="126"/>
      <c r="D87" s="126"/>
      <c r="E87" s="126"/>
      <c r="F87" s="126"/>
      <c r="G87" s="126"/>
      <c r="H87" s="126"/>
      <c r="I87" s="126"/>
      <c r="J87" s="126"/>
      <c r="K87" s="126"/>
      <c r="L87" s="126"/>
      <c r="M87" s="126"/>
      <c r="N87" s="126"/>
      <c r="O87" s="126"/>
      <c r="P87" s="126"/>
      <c r="Q87" s="126"/>
      <c r="R87" s="126"/>
      <c r="S87" s="126"/>
      <c r="T87" s="126"/>
      <c r="U87" s="126"/>
      <c r="V87" s="126"/>
      <c r="W87" s="126"/>
      <c r="X87" s="126"/>
      <c r="Y87" s="126"/>
      <c r="Z87" s="126"/>
    </row>
    <row r="88" ht="15.75" customHeight="1">
      <c r="A88" s="126"/>
      <c r="B88" s="126"/>
      <c r="C88" s="126"/>
      <c r="D88" s="126"/>
      <c r="E88" s="126"/>
      <c r="F88" s="126"/>
      <c r="G88" s="126"/>
      <c r="H88" s="126"/>
      <c r="I88" s="126"/>
      <c r="J88" s="126"/>
      <c r="K88" s="126"/>
      <c r="L88" s="126"/>
      <c r="M88" s="126"/>
      <c r="N88" s="126"/>
      <c r="O88" s="126"/>
      <c r="P88" s="126"/>
      <c r="Q88" s="126"/>
      <c r="R88" s="126"/>
      <c r="S88" s="126"/>
      <c r="T88" s="126"/>
      <c r="U88" s="126"/>
      <c r="V88" s="126"/>
      <c r="W88" s="126"/>
      <c r="X88" s="126"/>
      <c r="Y88" s="126"/>
      <c r="Z88" s="126"/>
    </row>
    <row r="89" ht="15.75" customHeight="1">
      <c r="A89" s="126"/>
      <c r="B89" s="126"/>
      <c r="C89" s="126"/>
      <c r="D89" s="126"/>
      <c r="E89" s="126"/>
      <c r="F89" s="126"/>
      <c r="G89" s="126"/>
      <c r="H89" s="126"/>
      <c r="I89" s="126"/>
      <c r="J89" s="126"/>
      <c r="K89" s="126"/>
      <c r="L89" s="126"/>
      <c r="M89" s="126"/>
      <c r="N89" s="126"/>
      <c r="O89" s="126"/>
      <c r="P89" s="126"/>
      <c r="Q89" s="126"/>
      <c r="R89" s="126"/>
      <c r="S89" s="126"/>
      <c r="T89" s="126"/>
      <c r="U89" s="126"/>
      <c r="V89" s="126"/>
      <c r="W89" s="126"/>
      <c r="X89" s="126"/>
      <c r="Y89" s="126"/>
      <c r="Z89" s="126"/>
    </row>
    <row r="90" ht="15.75" customHeight="1">
      <c r="A90" s="126"/>
      <c r="B90" s="126"/>
      <c r="C90" s="126"/>
      <c r="D90" s="126"/>
      <c r="E90" s="126"/>
      <c r="F90" s="126"/>
      <c r="G90" s="126"/>
      <c r="H90" s="126"/>
      <c r="I90" s="126"/>
      <c r="J90" s="126"/>
      <c r="K90" s="126"/>
      <c r="L90" s="126"/>
      <c r="M90" s="126"/>
      <c r="N90" s="126"/>
      <c r="O90" s="126"/>
      <c r="P90" s="126"/>
      <c r="Q90" s="126"/>
      <c r="R90" s="126"/>
      <c r="S90" s="126"/>
      <c r="T90" s="126"/>
      <c r="U90" s="126"/>
      <c r="V90" s="126"/>
      <c r="W90" s="126"/>
      <c r="X90" s="126"/>
      <c r="Y90" s="126"/>
      <c r="Z90" s="126"/>
    </row>
    <row r="91" ht="15.75" customHeight="1">
      <c r="A91" s="126"/>
      <c r="B91" s="126"/>
      <c r="C91" s="126"/>
      <c r="D91" s="126"/>
      <c r="E91" s="126"/>
      <c r="F91" s="126"/>
      <c r="G91" s="126"/>
      <c r="H91" s="126"/>
      <c r="I91" s="126"/>
      <c r="J91" s="126"/>
      <c r="K91" s="126"/>
      <c r="L91" s="126"/>
      <c r="M91" s="126"/>
      <c r="N91" s="126"/>
      <c r="O91" s="126"/>
      <c r="P91" s="126"/>
      <c r="Q91" s="126"/>
      <c r="R91" s="126"/>
      <c r="S91" s="126"/>
      <c r="T91" s="126"/>
      <c r="U91" s="126"/>
      <c r="V91" s="126"/>
      <c r="W91" s="126"/>
      <c r="X91" s="126"/>
      <c r="Y91" s="126"/>
      <c r="Z91" s="126"/>
    </row>
    <row r="92" ht="15.75" customHeight="1">
      <c r="A92" s="126"/>
      <c r="B92" s="126"/>
      <c r="C92" s="126"/>
      <c r="D92" s="126"/>
      <c r="E92" s="126"/>
      <c r="F92" s="126"/>
      <c r="G92" s="126"/>
      <c r="H92" s="126"/>
      <c r="I92" s="126"/>
      <c r="J92" s="126"/>
      <c r="K92" s="126"/>
      <c r="L92" s="126"/>
      <c r="M92" s="126"/>
      <c r="N92" s="126"/>
      <c r="O92" s="126"/>
      <c r="P92" s="126"/>
      <c r="Q92" s="126"/>
      <c r="R92" s="126"/>
      <c r="S92" s="126"/>
      <c r="T92" s="126"/>
      <c r="U92" s="126"/>
      <c r="V92" s="126"/>
      <c r="W92" s="126"/>
      <c r="X92" s="126"/>
      <c r="Y92" s="126"/>
      <c r="Z92" s="126"/>
    </row>
    <row r="93" ht="15.75" customHeight="1">
      <c r="A93" s="126"/>
      <c r="B93" s="126"/>
      <c r="C93" s="126"/>
      <c r="D93" s="126"/>
      <c r="E93" s="126"/>
      <c r="F93" s="126"/>
      <c r="G93" s="126"/>
      <c r="H93" s="126"/>
      <c r="I93" s="126"/>
      <c r="J93" s="126"/>
      <c r="K93" s="126"/>
      <c r="L93" s="126"/>
      <c r="M93" s="126"/>
      <c r="N93" s="126"/>
      <c r="O93" s="126"/>
      <c r="P93" s="126"/>
      <c r="Q93" s="126"/>
      <c r="R93" s="126"/>
      <c r="S93" s="126"/>
      <c r="T93" s="126"/>
      <c r="U93" s="126"/>
      <c r="V93" s="126"/>
      <c r="W93" s="126"/>
      <c r="X93" s="126"/>
      <c r="Y93" s="126"/>
      <c r="Z93" s="126"/>
    </row>
    <row r="94" ht="15.75" customHeight="1">
      <c r="A94" s="126"/>
      <c r="B94" s="126"/>
      <c r="C94" s="126"/>
      <c r="D94" s="126"/>
      <c r="E94" s="126"/>
      <c r="F94" s="126"/>
      <c r="G94" s="126"/>
      <c r="H94" s="126"/>
      <c r="I94" s="126"/>
      <c r="J94" s="126"/>
      <c r="K94" s="126"/>
      <c r="L94" s="126"/>
      <c r="M94" s="126"/>
      <c r="N94" s="126"/>
      <c r="O94" s="126"/>
      <c r="P94" s="126"/>
      <c r="Q94" s="126"/>
      <c r="R94" s="126"/>
      <c r="S94" s="126"/>
      <c r="T94" s="126"/>
      <c r="U94" s="126"/>
      <c r="V94" s="126"/>
      <c r="W94" s="126"/>
      <c r="X94" s="126"/>
      <c r="Y94" s="126"/>
      <c r="Z94" s="126"/>
    </row>
    <row r="95" ht="15.75" customHeight="1">
      <c r="A95" s="126"/>
      <c r="B95" s="126"/>
      <c r="C95" s="126"/>
      <c r="D95" s="126"/>
      <c r="E95" s="126"/>
      <c r="F95" s="126"/>
      <c r="G95" s="126"/>
      <c r="H95" s="126"/>
      <c r="I95" s="126"/>
      <c r="J95" s="126"/>
      <c r="K95" s="126"/>
      <c r="L95" s="126"/>
      <c r="M95" s="126"/>
      <c r="N95" s="126"/>
      <c r="O95" s="126"/>
      <c r="P95" s="126"/>
      <c r="Q95" s="126"/>
      <c r="R95" s="126"/>
      <c r="S95" s="126"/>
      <c r="T95" s="126"/>
      <c r="U95" s="126"/>
      <c r="V95" s="126"/>
      <c r="W95" s="126"/>
      <c r="X95" s="126"/>
      <c r="Y95" s="126"/>
      <c r="Z95" s="126"/>
    </row>
    <row r="96" ht="15.75" customHeight="1">
      <c r="A96" s="126"/>
      <c r="B96" s="126"/>
      <c r="C96" s="126"/>
      <c r="D96" s="126"/>
      <c r="E96" s="126"/>
      <c r="F96" s="126"/>
      <c r="G96" s="126"/>
      <c r="H96" s="126"/>
      <c r="I96" s="126"/>
      <c r="J96" s="126"/>
      <c r="K96" s="126"/>
      <c r="L96" s="126"/>
      <c r="M96" s="126"/>
      <c r="N96" s="126"/>
      <c r="O96" s="126"/>
      <c r="P96" s="126"/>
      <c r="Q96" s="126"/>
      <c r="R96" s="126"/>
      <c r="S96" s="126"/>
      <c r="T96" s="126"/>
      <c r="U96" s="126"/>
      <c r="V96" s="126"/>
      <c r="W96" s="126"/>
      <c r="X96" s="126"/>
      <c r="Y96" s="126"/>
      <c r="Z96" s="126"/>
    </row>
    <row r="97" ht="15.75" customHeight="1">
      <c r="A97" s="126"/>
      <c r="B97" s="126"/>
      <c r="C97" s="126"/>
      <c r="D97" s="126"/>
      <c r="E97" s="126"/>
      <c r="F97" s="126"/>
      <c r="G97" s="126"/>
      <c r="H97" s="126"/>
      <c r="I97" s="126"/>
      <c r="J97" s="126"/>
      <c r="K97" s="126"/>
      <c r="L97" s="126"/>
      <c r="M97" s="126"/>
      <c r="N97" s="126"/>
      <c r="O97" s="126"/>
      <c r="P97" s="126"/>
      <c r="Q97" s="126"/>
      <c r="R97" s="126"/>
      <c r="S97" s="126"/>
      <c r="T97" s="126"/>
      <c r="U97" s="126"/>
      <c r="V97" s="126"/>
      <c r="W97" s="126"/>
      <c r="X97" s="126"/>
      <c r="Y97" s="126"/>
      <c r="Z97" s="126"/>
    </row>
    <row r="98" ht="15.75" customHeight="1">
      <c r="A98" s="126"/>
      <c r="B98" s="126"/>
      <c r="C98" s="126"/>
      <c r="D98" s="126"/>
      <c r="E98" s="126"/>
      <c r="F98" s="126"/>
      <c r="G98" s="126"/>
      <c r="H98" s="126"/>
      <c r="I98" s="126"/>
      <c r="J98" s="126"/>
      <c r="K98" s="126"/>
      <c r="L98" s="126"/>
      <c r="M98" s="126"/>
      <c r="N98" s="126"/>
      <c r="O98" s="126"/>
      <c r="P98" s="126"/>
      <c r="Q98" s="126"/>
      <c r="R98" s="126"/>
      <c r="S98" s="126"/>
      <c r="T98" s="126"/>
      <c r="U98" s="126"/>
      <c r="V98" s="126"/>
      <c r="W98" s="126"/>
      <c r="X98" s="126"/>
      <c r="Y98" s="126"/>
      <c r="Z98" s="126"/>
    </row>
    <row r="99" ht="15.75" customHeight="1">
      <c r="A99" s="126"/>
      <c r="B99" s="126"/>
      <c r="C99" s="126"/>
      <c r="D99" s="126"/>
      <c r="E99" s="126"/>
      <c r="F99" s="126"/>
      <c r="G99" s="126"/>
      <c r="H99" s="126"/>
      <c r="I99" s="126"/>
      <c r="J99" s="126"/>
      <c r="K99" s="126"/>
      <c r="L99" s="126"/>
      <c r="M99" s="126"/>
      <c r="N99" s="126"/>
      <c r="O99" s="126"/>
      <c r="P99" s="126"/>
      <c r="Q99" s="126"/>
      <c r="R99" s="126"/>
      <c r="S99" s="126"/>
      <c r="T99" s="126"/>
      <c r="U99" s="126"/>
      <c r="V99" s="126"/>
      <c r="W99" s="126"/>
      <c r="X99" s="126"/>
      <c r="Y99" s="126"/>
      <c r="Z99" s="126"/>
    </row>
    <row r="100" ht="15.75" customHeight="1">
      <c r="A100" s="126"/>
      <c r="B100" s="126"/>
      <c r="C100" s="126"/>
      <c r="D100" s="126"/>
      <c r="E100" s="126"/>
      <c r="F100" s="126"/>
      <c r="G100" s="126"/>
      <c r="H100" s="126"/>
      <c r="I100" s="126"/>
      <c r="J100" s="126"/>
      <c r="K100" s="126"/>
      <c r="L100" s="126"/>
      <c r="M100" s="126"/>
      <c r="N100" s="126"/>
      <c r="O100" s="126"/>
      <c r="P100" s="126"/>
      <c r="Q100" s="126"/>
      <c r="R100" s="126"/>
      <c r="S100" s="126"/>
      <c r="T100" s="126"/>
      <c r="U100" s="126"/>
      <c r="V100" s="126"/>
      <c r="W100" s="126"/>
      <c r="X100" s="126"/>
      <c r="Y100" s="126"/>
      <c r="Z100" s="126"/>
    </row>
    <row r="101" ht="15.75" customHeight="1">
      <c r="A101" s="126"/>
      <c r="B101" s="126"/>
      <c r="C101" s="126"/>
      <c r="D101" s="126"/>
      <c r="E101" s="126"/>
      <c r="F101" s="126"/>
      <c r="G101" s="126"/>
      <c r="H101" s="126"/>
      <c r="I101" s="126"/>
      <c r="J101" s="126"/>
      <c r="K101" s="126"/>
      <c r="L101" s="126"/>
      <c r="M101" s="126"/>
      <c r="N101" s="126"/>
      <c r="O101" s="126"/>
      <c r="P101" s="126"/>
      <c r="Q101" s="126"/>
      <c r="R101" s="126"/>
      <c r="S101" s="126"/>
      <c r="T101" s="126"/>
      <c r="U101" s="126"/>
      <c r="V101" s="126"/>
      <c r="W101" s="126"/>
      <c r="X101" s="126"/>
      <c r="Y101" s="126"/>
      <c r="Z101" s="126"/>
    </row>
    <row r="102" ht="15.75" customHeight="1">
      <c r="A102" s="126"/>
      <c r="B102" s="126"/>
      <c r="C102" s="126"/>
      <c r="D102" s="126"/>
      <c r="E102" s="126"/>
      <c r="F102" s="126"/>
      <c r="G102" s="126"/>
      <c r="H102" s="126"/>
      <c r="I102" s="126"/>
      <c r="J102" s="126"/>
      <c r="K102" s="126"/>
      <c r="L102" s="126"/>
      <c r="M102" s="126"/>
      <c r="N102" s="126"/>
      <c r="O102" s="126"/>
      <c r="P102" s="126"/>
      <c r="Q102" s="126"/>
      <c r="R102" s="126"/>
      <c r="S102" s="126"/>
      <c r="T102" s="126"/>
      <c r="U102" s="126"/>
      <c r="V102" s="126"/>
      <c r="W102" s="126"/>
      <c r="X102" s="126"/>
      <c r="Y102" s="126"/>
      <c r="Z102" s="126"/>
    </row>
    <row r="103" ht="15.75" customHeight="1">
      <c r="A103" s="126"/>
      <c r="B103" s="126"/>
      <c r="C103" s="126"/>
      <c r="D103" s="126"/>
      <c r="E103" s="126"/>
      <c r="F103" s="126"/>
      <c r="G103" s="126"/>
      <c r="H103" s="126"/>
      <c r="I103" s="126"/>
      <c r="J103" s="126"/>
      <c r="K103" s="126"/>
      <c r="L103" s="126"/>
      <c r="M103" s="126"/>
      <c r="N103" s="126"/>
      <c r="O103" s="126"/>
      <c r="P103" s="126"/>
      <c r="Q103" s="126"/>
      <c r="R103" s="126"/>
      <c r="S103" s="126"/>
      <c r="T103" s="126"/>
      <c r="U103" s="126"/>
      <c r="V103" s="126"/>
      <c r="W103" s="126"/>
      <c r="X103" s="126"/>
      <c r="Y103" s="126"/>
      <c r="Z103" s="126"/>
    </row>
    <row r="104" ht="15.75" customHeight="1">
      <c r="A104" s="126"/>
      <c r="B104" s="126"/>
      <c r="C104" s="126"/>
      <c r="D104" s="126"/>
      <c r="E104" s="126"/>
      <c r="F104" s="126"/>
      <c r="G104" s="126"/>
      <c r="H104" s="126"/>
      <c r="I104" s="126"/>
      <c r="J104" s="126"/>
      <c r="K104" s="126"/>
      <c r="L104" s="126"/>
      <c r="M104" s="126"/>
      <c r="N104" s="126"/>
      <c r="O104" s="126"/>
      <c r="P104" s="126"/>
      <c r="Q104" s="126"/>
      <c r="R104" s="126"/>
      <c r="S104" s="126"/>
      <c r="T104" s="126"/>
      <c r="U104" s="126"/>
      <c r="V104" s="126"/>
      <c r="W104" s="126"/>
      <c r="X104" s="126"/>
      <c r="Y104" s="126"/>
      <c r="Z104" s="126"/>
    </row>
    <row r="105" ht="15.75" customHeight="1">
      <c r="A105" s="126"/>
      <c r="B105" s="126"/>
      <c r="C105" s="126"/>
      <c r="D105" s="126"/>
      <c r="E105" s="126"/>
      <c r="F105" s="126"/>
      <c r="G105" s="126"/>
      <c r="H105" s="126"/>
      <c r="I105" s="126"/>
      <c r="J105" s="126"/>
      <c r="K105" s="126"/>
      <c r="L105" s="126"/>
      <c r="M105" s="126"/>
      <c r="N105" s="126"/>
      <c r="O105" s="126"/>
      <c r="P105" s="126"/>
      <c r="Q105" s="126"/>
      <c r="R105" s="126"/>
      <c r="S105" s="126"/>
      <c r="T105" s="126"/>
      <c r="U105" s="126"/>
      <c r="V105" s="126"/>
      <c r="W105" s="126"/>
      <c r="X105" s="126"/>
      <c r="Y105" s="126"/>
      <c r="Z105" s="126"/>
    </row>
    <row r="106" ht="15.75" customHeight="1">
      <c r="A106" s="126"/>
      <c r="B106" s="126"/>
      <c r="C106" s="126"/>
      <c r="D106" s="126"/>
      <c r="E106" s="126"/>
      <c r="F106" s="126"/>
      <c r="G106" s="126"/>
      <c r="H106" s="126"/>
      <c r="I106" s="126"/>
      <c r="J106" s="126"/>
      <c r="K106" s="126"/>
      <c r="L106" s="126"/>
      <c r="M106" s="126"/>
      <c r="N106" s="126"/>
      <c r="O106" s="126"/>
      <c r="P106" s="126"/>
      <c r="Q106" s="126"/>
      <c r="R106" s="126"/>
      <c r="S106" s="126"/>
      <c r="T106" s="126"/>
      <c r="U106" s="126"/>
      <c r="V106" s="126"/>
      <c r="W106" s="126"/>
      <c r="X106" s="126"/>
      <c r="Y106" s="126"/>
      <c r="Z106" s="126"/>
    </row>
    <row r="107" ht="15.75" customHeight="1">
      <c r="A107" s="126"/>
      <c r="B107" s="126"/>
      <c r="C107" s="126"/>
      <c r="D107" s="126"/>
      <c r="E107" s="126"/>
      <c r="F107" s="126"/>
      <c r="G107" s="126"/>
      <c r="H107" s="126"/>
      <c r="I107" s="126"/>
      <c r="J107" s="126"/>
      <c r="K107" s="126"/>
      <c r="L107" s="126"/>
      <c r="M107" s="126"/>
      <c r="N107" s="126"/>
      <c r="O107" s="126"/>
      <c r="P107" s="126"/>
      <c r="Q107" s="126"/>
      <c r="R107" s="126"/>
      <c r="S107" s="126"/>
      <c r="T107" s="126"/>
      <c r="U107" s="126"/>
      <c r="V107" s="126"/>
      <c r="W107" s="126"/>
      <c r="X107" s="126"/>
      <c r="Y107" s="126"/>
      <c r="Z107" s="126"/>
    </row>
    <row r="108" ht="15.75" customHeight="1">
      <c r="A108" s="126"/>
      <c r="B108" s="126"/>
      <c r="C108" s="126"/>
      <c r="D108" s="126"/>
      <c r="E108" s="126"/>
      <c r="F108" s="126"/>
      <c r="G108" s="126"/>
      <c r="H108" s="126"/>
      <c r="I108" s="126"/>
      <c r="J108" s="126"/>
      <c r="K108" s="126"/>
      <c r="L108" s="126"/>
      <c r="M108" s="126"/>
      <c r="N108" s="126"/>
      <c r="O108" s="126"/>
      <c r="P108" s="126"/>
      <c r="Q108" s="126"/>
      <c r="R108" s="126"/>
      <c r="S108" s="126"/>
      <c r="T108" s="126"/>
      <c r="U108" s="126"/>
      <c r="V108" s="126"/>
      <c r="W108" s="126"/>
      <c r="X108" s="126"/>
      <c r="Y108" s="126"/>
      <c r="Z108" s="126"/>
    </row>
    <row r="109" ht="15.75" customHeight="1">
      <c r="A109" s="126"/>
      <c r="B109" s="126"/>
      <c r="C109" s="126"/>
      <c r="D109" s="126"/>
      <c r="E109" s="126"/>
      <c r="F109" s="126"/>
      <c r="G109" s="126"/>
      <c r="H109" s="126"/>
      <c r="I109" s="126"/>
      <c r="J109" s="126"/>
      <c r="K109" s="126"/>
      <c r="L109" s="126"/>
      <c r="M109" s="126"/>
      <c r="N109" s="126"/>
      <c r="O109" s="126"/>
      <c r="P109" s="126"/>
      <c r="Q109" s="126"/>
      <c r="R109" s="126"/>
      <c r="S109" s="126"/>
      <c r="T109" s="126"/>
      <c r="U109" s="126"/>
      <c r="V109" s="126"/>
      <c r="W109" s="126"/>
      <c r="X109" s="126"/>
      <c r="Y109" s="126"/>
      <c r="Z109" s="126"/>
    </row>
    <row r="110" ht="15.75" customHeight="1">
      <c r="A110" s="126"/>
      <c r="B110" s="126"/>
      <c r="C110" s="126"/>
      <c r="D110" s="126"/>
      <c r="E110" s="126"/>
      <c r="F110" s="126"/>
      <c r="G110" s="126"/>
      <c r="H110" s="126"/>
      <c r="I110" s="126"/>
      <c r="J110" s="126"/>
      <c r="K110" s="126"/>
      <c r="L110" s="126"/>
      <c r="M110" s="126"/>
      <c r="N110" s="126"/>
      <c r="O110" s="126"/>
      <c r="P110" s="126"/>
      <c r="Q110" s="126"/>
      <c r="R110" s="126"/>
      <c r="S110" s="126"/>
      <c r="T110" s="126"/>
      <c r="U110" s="126"/>
      <c r="V110" s="126"/>
      <c r="W110" s="126"/>
      <c r="X110" s="126"/>
      <c r="Y110" s="126"/>
      <c r="Z110" s="126"/>
    </row>
    <row r="111" ht="15.75" customHeight="1">
      <c r="A111" s="126"/>
      <c r="B111" s="126"/>
      <c r="C111" s="126"/>
      <c r="D111" s="126"/>
      <c r="E111" s="126"/>
      <c r="F111" s="126"/>
      <c r="G111" s="126"/>
      <c r="H111" s="126"/>
      <c r="I111" s="126"/>
      <c r="J111" s="126"/>
      <c r="K111" s="126"/>
      <c r="L111" s="126"/>
      <c r="M111" s="126"/>
      <c r="N111" s="126"/>
      <c r="O111" s="126"/>
      <c r="P111" s="126"/>
      <c r="Q111" s="126"/>
      <c r="R111" s="126"/>
      <c r="S111" s="126"/>
      <c r="T111" s="126"/>
      <c r="U111" s="126"/>
      <c r="V111" s="126"/>
      <c r="W111" s="126"/>
      <c r="X111" s="126"/>
      <c r="Y111" s="126"/>
      <c r="Z111" s="126"/>
    </row>
    <row r="112" ht="15.75" customHeight="1">
      <c r="A112" s="126"/>
      <c r="B112" s="126"/>
      <c r="C112" s="126"/>
      <c r="D112" s="126"/>
      <c r="E112" s="126"/>
      <c r="F112" s="126"/>
      <c r="G112" s="126"/>
      <c r="H112" s="126"/>
      <c r="I112" s="126"/>
      <c r="J112" s="126"/>
      <c r="K112" s="126"/>
      <c r="L112" s="126"/>
      <c r="M112" s="126"/>
      <c r="N112" s="126"/>
      <c r="O112" s="126"/>
      <c r="P112" s="126"/>
      <c r="Q112" s="126"/>
      <c r="R112" s="126"/>
      <c r="S112" s="126"/>
      <c r="T112" s="126"/>
      <c r="U112" s="126"/>
      <c r="V112" s="126"/>
      <c r="W112" s="126"/>
      <c r="X112" s="126"/>
      <c r="Y112" s="126"/>
      <c r="Z112" s="126"/>
    </row>
    <row r="113" ht="15.75" customHeight="1">
      <c r="A113" s="126"/>
      <c r="B113" s="126"/>
      <c r="C113" s="126"/>
      <c r="D113" s="126"/>
      <c r="E113" s="126"/>
      <c r="F113" s="126"/>
      <c r="G113" s="126"/>
      <c r="H113" s="126"/>
      <c r="I113" s="126"/>
      <c r="J113" s="126"/>
      <c r="K113" s="126"/>
      <c r="L113" s="126"/>
      <c r="M113" s="126"/>
      <c r="N113" s="126"/>
      <c r="O113" s="126"/>
      <c r="P113" s="126"/>
      <c r="Q113" s="126"/>
      <c r="R113" s="126"/>
      <c r="S113" s="126"/>
      <c r="T113" s="126"/>
      <c r="U113" s="126"/>
      <c r="V113" s="126"/>
      <c r="W113" s="126"/>
      <c r="X113" s="126"/>
      <c r="Y113" s="126"/>
      <c r="Z113" s="126"/>
    </row>
    <row r="114" ht="15.75" customHeight="1">
      <c r="A114" s="126"/>
      <c r="B114" s="126"/>
      <c r="C114" s="126"/>
      <c r="D114" s="126"/>
      <c r="E114" s="126"/>
      <c r="F114" s="126"/>
      <c r="G114" s="126"/>
      <c r="H114" s="126"/>
      <c r="I114" s="126"/>
      <c r="J114" s="126"/>
      <c r="K114" s="126"/>
      <c r="L114" s="126"/>
      <c r="M114" s="126"/>
      <c r="N114" s="126"/>
      <c r="O114" s="126"/>
      <c r="P114" s="126"/>
      <c r="Q114" s="126"/>
      <c r="R114" s="126"/>
      <c r="S114" s="126"/>
      <c r="T114" s="126"/>
      <c r="U114" s="126"/>
      <c r="V114" s="126"/>
      <c r="W114" s="126"/>
      <c r="X114" s="126"/>
      <c r="Y114" s="126"/>
      <c r="Z114" s="126"/>
    </row>
    <row r="115" ht="15.75" customHeight="1">
      <c r="A115" s="126"/>
      <c r="B115" s="126"/>
      <c r="C115" s="126"/>
      <c r="D115" s="126"/>
      <c r="E115" s="126"/>
      <c r="F115" s="126"/>
      <c r="G115" s="126"/>
      <c r="H115" s="126"/>
      <c r="I115" s="126"/>
      <c r="J115" s="126"/>
      <c r="K115" s="126"/>
      <c r="L115" s="126"/>
      <c r="M115" s="126"/>
      <c r="N115" s="126"/>
      <c r="O115" s="126"/>
      <c r="P115" s="126"/>
      <c r="Q115" s="126"/>
      <c r="R115" s="126"/>
      <c r="S115" s="126"/>
      <c r="T115" s="126"/>
      <c r="U115" s="126"/>
      <c r="V115" s="126"/>
      <c r="W115" s="126"/>
      <c r="X115" s="126"/>
      <c r="Y115" s="126"/>
      <c r="Z115" s="126"/>
    </row>
    <row r="116" ht="15.75" customHeight="1">
      <c r="A116" s="126"/>
      <c r="B116" s="126"/>
      <c r="C116" s="126"/>
      <c r="D116" s="126"/>
      <c r="E116" s="126"/>
      <c r="F116" s="126"/>
      <c r="G116" s="126"/>
      <c r="H116" s="126"/>
      <c r="I116" s="126"/>
      <c r="J116" s="126"/>
      <c r="K116" s="126"/>
      <c r="L116" s="126"/>
      <c r="M116" s="126"/>
      <c r="N116" s="126"/>
      <c r="O116" s="126"/>
      <c r="P116" s="126"/>
      <c r="Q116" s="126"/>
      <c r="R116" s="126"/>
      <c r="S116" s="126"/>
      <c r="T116" s="126"/>
      <c r="U116" s="126"/>
      <c r="V116" s="126"/>
      <c r="W116" s="126"/>
      <c r="X116" s="126"/>
      <c r="Y116" s="126"/>
      <c r="Z116" s="126"/>
    </row>
    <row r="117" ht="15.75" customHeight="1">
      <c r="A117" s="126"/>
      <c r="B117" s="126"/>
      <c r="C117" s="126"/>
      <c r="D117" s="126"/>
      <c r="E117" s="126"/>
      <c r="F117" s="126"/>
      <c r="G117" s="126"/>
      <c r="H117" s="126"/>
      <c r="I117" s="126"/>
      <c r="J117" s="126"/>
      <c r="K117" s="126"/>
      <c r="L117" s="126"/>
      <c r="M117" s="126"/>
      <c r="N117" s="126"/>
      <c r="O117" s="126"/>
      <c r="P117" s="126"/>
      <c r="Q117" s="126"/>
      <c r="R117" s="126"/>
      <c r="S117" s="126"/>
      <c r="T117" s="126"/>
      <c r="U117" s="126"/>
      <c r="V117" s="126"/>
      <c r="W117" s="126"/>
      <c r="X117" s="126"/>
      <c r="Y117" s="126"/>
      <c r="Z117" s="126"/>
    </row>
    <row r="118" ht="15.75" customHeight="1">
      <c r="A118" s="126"/>
      <c r="B118" s="126"/>
      <c r="C118" s="126"/>
      <c r="D118" s="126"/>
      <c r="E118" s="126"/>
      <c r="F118" s="126"/>
      <c r="G118" s="126"/>
      <c r="H118" s="126"/>
      <c r="I118" s="126"/>
      <c r="J118" s="126"/>
      <c r="K118" s="126"/>
      <c r="L118" s="126"/>
      <c r="M118" s="126"/>
      <c r="N118" s="126"/>
      <c r="O118" s="126"/>
      <c r="P118" s="126"/>
      <c r="Q118" s="126"/>
      <c r="R118" s="126"/>
      <c r="S118" s="126"/>
      <c r="T118" s="126"/>
      <c r="U118" s="126"/>
      <c r="V118" s="126"/>
      <c r="W118" s="126"/>
      <c r="X118" s="126"/>
      <c r="Y118" s="126"/>
      <c r="Z118" s="126"/>
    </row>
    <row r="119" ht="15.75" customHeight="1">
      <c r="A119" s="126"/>
      <c r="B119" s="126"/>
      <c r="C119" s="126"/>
      <c r="D119" s="126"/>
      <c r="E119" s="126"/>
      <c r="F119" s="126"/>
      <c r="G119" s="126"/>
      <c r="H119" s="126"/>
      <c r="I119" s="126"/>
      <c r="J119" s="126"/>
      <c r="K119" s="126"/>
      <c r="L119" s="126"/>
      <c r="M119" s="126"/>
      <c r="N119" s="126"/>
      <c r="O119" s="126"/>
      <c r="P119" s="126"/>
      <c r="Q119" s="126"/>
      <c r="R119" s="126"/>
      <c r="S119" s="126"/>
      <c r="T119" s="126"/>
      <c r="U119" s="126"/>
      <c r="V119" s="126"/>
      <c r="W119" s="126"/>
      <c r="X119" s="126"/>
      <c r="Y119" s="126"/>
      <c r="Z119" s="126"/>
    </row>
    <row r="120" ht="15.75" customHeight="1">
      <c r="A120" s="126"/>
      <c r="B120" s="126"/>
      <c r="C120" s="126"/>
      <c r="D120" s="126"/>
      <c r="E120" s="126"/>
      <c r="F120" s="126"/>
      <c r="G120" s="126"/>
      <c r="H120" s="126"/>
      <c r="I120" s="126"/>
      <c r="J120" s="126"/>
      <c r="K120" s="126"/>
      <c r="L120" s="126"/>
      <c r="M120" s="126"/>
      <c r="N120" s="126"/>
      <c r="O120" s="126"/>
      <c r="P120" s="126"/>
      <c r="Q120" s="126"/>
      <c r="R120" s="126"/>
      <c r="S120" s="126"/>
      <c r="T120" s="126"/>
      <c r="U120" s="126"/>
      <c r="V120" s="126"/>
      <c r="W120" s="126"/>
      <c r="X120" s="126"/>
      <c r="Y120" s="126"/>
      <c r="Z120" s="126"/>
    </row>
    <row r="121" ht="15.75" customHeight="1">
      <c r="A121" s="126"/>
      <c r="B121" s="126"/>
      <c r="C121" s="126"/>
      <c r="D121" s="126"/>
      <c r="E121" s="126"/>
      <c r="F121" s="126"/>
      <c r="G121" s="126"/>
      <c r="H121" s="126"/>
      <c r="I121" s="126"/>
      <c r="J121" s="126"/>
      <c r="K121" s="126"/>
      <c r="L121" s="126"/>
      <c r="M121" s="126"/>
      <c r="N121" s="126"/>
      <c r="O121" s="126"/>
      <c r="P121" s="126"/>
      <c r="Q121" s="126"/>
      <c r="R121" s="126"/>
      <c r="S121" s="126"/>
      <c r="T121" s="126"/>
      <c r="U121" s="126"/>
      <c r="V121" s="126"/>
      <c r="W121" s="126"/>
      <c r="X121" s="126"/>
      <c r="Y121" s="126"/>
      <c r="Z121" s="126"/>
    </row>
    <row r="122" ht="15.75" customHeight="1">
      <c r="A122" s="126"/>
      <c r="B122" s="126"/>
      <c r="C122" s="126"/>
      <c r="D122" s="126"/>
      <c r="E122" s="126"/>
      <c r="F122" s="126"/>
      <c r="G122" s="126"/>
      <c r="H122" s="126"/>
      <c r="I122" s="126"/>
      <c r="J122" s="126"/>
      <c r="K122" s="126"/>
      <c r="L122" s="126"/>
      <c r="M122" s="126"/>
      <c r="N122" s="126"/>
      <c r="O122" s="126"/>
      <c r="P122" s="126"/>
      <c r="Q122" s="126"/>
      <c r="R122" s="126"/>
      <c r="S122" s="126"/>
      <c r="T122" s="126"/>
      <c r="U122" s="126"/>
      <c r="V122" s="126"/>
      <c r="W122" s="126"/>
      <c r="X122" s="126"/>
      <c r="Y122" s="126"/>
      <c r="Z122" s="126"/>
    </row>
    <row r="123" ht="15.75" customHeight="1">
      <c r="A123" s="126"/>
      <c r="B123" s="126"/>
      <c r="C123" s="126"/>
      <c r="D123" s="126"/>
      <c r="E123" s="126"/>
      <c r="F123" s="126"/>
      <c r="G123" s="126"/>
      <c r="H123" s="126"/>
      <c r="I123" s="126"/>
      <c r="J123" s="126"/>
      <c r="K123" s="126"/>
      <c r="L123" s="126"/>
      <c r="M123" s="126"/>
      <c r="N123" s="126"/>
      <c r="O123" s="126"/>
      <c r="P123" s="126"/>
      <c r="Q123" s="126"/>
      <c r="R123" s="126"/>
      <c r="S123" s="126"/>
      <c r="T123" s="126"/>
      <c r="U123" s="126"/>
      <c r="V123" s="126"/>
      <c r="W123" s="126"/>
      <c r="X123" s="126"/>
      <c r="Y123" s="126"/>
      <c r="Z123" s="126"/>
    </row>
    <row r="124" ht="15.75" customHeight="1">
      <c r="A124" s="126"/>
      <c r="B124" s="126"/>
      <c r="C124" s="126"/>
      <c r="D124" s="126"/>
      <c r="E124" s="126"/>
      <c r="F124" s="126"/>
      <c r="G124" s="126"/>
      <c r="H124" s="126"/>
      <c r="I124" s="126"/>
      <c r="J124" s="126"/>
      <c r="K124" s="126"/>
      <c r="L124" s="126"/>
      <c r="M124" s="126"/>
      <c r="N124" s="126"/>
      <c r="O124" s="126"/>
      <c r="P124" s="126"/>
      <c r="Q124" s="126"/>
      <c r="R124" s="126"/>
      <c r="S124" s="126"/>
      <c r="T124" s="126"/>
      <c r="U124" s="126"/>
      <c r="V124" s="126"/>
      <c r="W124" s="126"/>
      <c r="X124" s="126"/>
      <c r="Y124" s="126"/>
      <c r="Z124" s="126"/>
    </row>
    <row r="125" ht="15.75" customHeight="1">
      <c r="A125" s="126"/>
      <c r="B125" s="126"/>
      <c r="C125" s="126"/>
      <c r="D125" s="126"/>
      <c r="E125" s="126"/>
      <c r="F125" s="126"/>
      <c r="G125" s="126"/>
      <c r="H125" s="126"/>
      <c r="I125" s="126"/>
      <c r="J125" s="126"/>
      <c r="K125" s="126"/>
      <c r="L125" s="126"/>
      <c r="M125" s="126"/>
      <c r="N125" s="126"/>
      <c r="O125" s="126"/>
      <c r="P125" s="126"/>
      <c r="Q125" s="126"/>
      <c r="R125" s="126"/>
      <c r="S125" s="126"/>
      <c r="T125" s="126"/>
      <c r="U125" s="126"/>
      <c r="V125" s="126"/>
      <c r="W125" s="126"/>
      <c r="X125" s="126"/>
      <c r="Y125" s="126"/>
      <c r="Z125" s="126"/>
    </row>
    <row r="126" ht="15.75" customHeight="1">
      <c r="A126" s="126"/>
      <c r="B126" s="126"/>
      <c r="C126" s="126"/>
      <c r="D126" s="126"/>
      <c r="E126" s="126"/>
      <c r="F126" s="126"/>
      <c r="G126" s="126"/>
      <c r="H126" s="126"/>
      <c r="I126" s="126"/>
      <c r="J126" s="126"/>
      <c r="K126" s="126"/>
      <c r="L126" s="126"/>
      <c r="M126" s="126"/>
      <c r="N126" s="126"/>
      <c r="O126" s="126"/>
      <c r="P126" s="126"/>
      <c r="Q126" s="126"/>
      <c r="R126" s="126"/>
      <c r="S126" s="126"/>
      <c r="T126" s="126"/>
      <c r="U126" s="126"/>
      <c r="V126" s="126"/>
      <c r="W126" s="126"/>
      <c r="X126" s="126"/>
      <c r="Y126" s="126"/>
      <c r="Z126" s="126"/>
    </row>
    <row r="127" ht="15.75" customHeight="1">
      <c r="A127" s="126"/>
      <c r="B127" s="126"/>
      <c r="C127" s="126"/>
      <c r="D127" s="126"/>
      <c r="E127" s="126"/>
      <c r="F127" s="126"/>
      <c r="G127" s="126"/>
      <c r="H127" s="126"/>
      <c r="I127" s="126"/>
      <c r="J127" s="126"/>
      <c r="K127" s="126"/>
      <c r="L127" s="126"/>
      <c r="M127" s="126"/>
      <c r="N127" s="126"/>
      <c r="O127" s="126"/>
      <c r="P127" s="126"/>
      <c r="Q127" s="126"/>
      <c r="R127" s="126"/>
      <c r="S127" s="126"/>
      <c r="T127" s="126"/>
      <c r="U127" s="126"/>
      <c r="V127" s="126"/>
      <c r="W127" s="126"/>
      <c r="X127" s="126"/>
      <c r="Y127" s="126"/>
      <c r="Z127" s="126"/>
    </row>
    <row r="128" ht="15.75" customHeight="1">
      <c r="A128" s="126"/>
      <c r="B128" s="126"/>
      <c r="C128" s="126"/>
      <c r="D128" s="126"/>
      <c r="E128" s="126"/>
      <c r="F128" s="126"/>
      <c r="G128" s="126"/>
      <c r="H128" s="126"/>
      <c r="I128" s="126"/>
      <c r="J128" s="126"/>
      <c r="K128" s="126"/>
      <c r="L128" s="126"/>
      <c r="M128" s="126"/>
      <c r="N128" s="126"/>
      <c r="O128" s="126"/>
      <c r="P128" s="126"/>
      <c r="Q128" s="126"/>
      <c r="R128" s="126"/>
      <c r="S128" s="126"/>
      <c r="T128" s="126"/>
      <c r="U128" s="126"/>
      <c r="V128" s="126"/>
      <c r="W128" s="126"/>
      <c r="X128" s="126"/>
      <c r="Y128" s="126"/>
      <c r="Z128" s="126"/>
    </row>
    <row r="129" ht="15.75" customHeight="1">
      <c r="A129" s="126"/>
      <c r="B129" s="126"/>
      <c r="C129" s="126"/>
      <c r="D129" s="126"/>
      <c r="E129" s="126"/>
      <c r="F129" s="126"/>
      <c r="G129" s="126"/>
      <c r="H129" s="126"/>
      <c r="I129" s="126"/>
      <c r="J129" s="126"/>
      <c r="K129" s="126"/>
      <c r="L129" s="126"/>
      <c r="M129" s="126"/>
      <c r="N129" s="126"/>
      <c r="O129" s="126"/>
      <c r="P129" s="126"/>
      <c r="Q129" s="126"/>
      <c r="R129" s="126"/>
      <c r="S129" s="126"/>
      <c r="T129" s="126"/>
      <c r="U129" s="126"/>
      <c r="V129" s="126"/>
      <c r="W129" s="126"/>
      <c r="X129" s="126"/>
      <c r="Y129" s="126"/>
      <c r="Z129" s="126"/>
    </row>
    <row r="130" ht="15.75" customHeight="1">
      <c r="A130" s="126"/>
      <c r="B130" s="126"/>
      <c r="C130" s="126"/>
      <c r="D130" s="126"/>
      <c r="E130" s="126"/>
      <c r="F130" s="126"/>
      <c r="G130" s="126"/>
      <c r="H130" s="126"/>
      <c r="I130" s="126"/>
      <c r="J130" s="126"/>
      <c r="K130" s="126"/>
      <c r="L130" s="126"/>
      <c r="M130" s="126"/>
      <c r="N130" s="126"/>
      <c r="O130" s="126"/>
      <c r="P130" s="126"/>
      <c r="Q130" s="126"/>
      <c r="R130" s="126"/>
      <c r="S130" s="126"/>
      <c r="T130" s="126"/>
      <c r="U130" s="126"/>
      <c r="V130" s="126"/>
      <c r="W130" s="126"/>
      <c r="X130" s="126"/>
      <c r="Y130" s="126"/>
      <c r="Z130" s="126"/>
    </row>
    <row r="131" ht="15.75" customHeight="1">
      <c r="A131" s="126"/>
      <c r="B131" s="126"/>
      <c r="C131" s="126"/>
      <c r="D131" s="126"/>
      <c r="E131" s="126"/>
      <c r="F131" s="126"/>
      <c r="G131" s="126"/>
      <c r="H131" s="126"/>
      <c r="I131" s="126"/>
      <c r="J131" s="126"/>
      <c r="K131" s="126"/>
      <c r="L131" s="126"/>
      <c r="M131" s="126"/>
      <c r="N131" s="126"/>
      <c r="O131" s="126"/>
      <c r="P131" s="126"/>
      <c r="Q131" s="126"/>
      <c r="R131" s="126"/>
      <c r="S131" s="126"/>
      <c r="T131" s="126"/>
      <c r="U131" s="126"/>
      <c r="V131" s="126"/>
      <c r="W131" s="126"/>
      <c r="X131" s="126"/>
      <c r="Y131" s="126"/>
      <c r="Z131" s="126"/>
    </row>
    <row r="132" ht="15.75" customHeight="1">
      <c r="A132" s="126"/>
      <c r="B132" s="126"/>
      <c r="C132" s="126"/>
      <c r="D132" s="126"/>
      <c r="E132" s="126"/>
      <c r="F132" s="126"/>
      <c r="G132" s="126"/>
      <c r="H132" s="126"/>
      <c r="I132" s="126"/>
      <c r="J132" s="126"/>
      <c r="K132" s="126"/>
      <c r="L132" s="126"/>
      <c r="M132" s="126"/>
      <c r="N132" s="126"/>
      <c r="O132" s="126"/>
      <c r="P132" s="126"/>
      <c r="Q132" s="126"/>
      <c r="R132" s="126"/>
      <c r="S132" s="126"/>
      <c r="T132" s="126"/>
      <c r="U132" s="126"/>
      <c r="V132" s="126"/>
      <c r="W132" s="126"/>
      <c r="X132" s="126"/>
      <c r="Y132" s="126"/>
      <c r="Z132" s="126"/>
    </row>
    <row r="133" ht="15.75" customHeight="1">
      <c r="A133" s="126"/>
      <c r="B133" s="126"/>
      <c r="C133" s="126"/>
      <c r="D133" s="126"/>
      <c r="E133" s="126"/>
      <c r="F133" s="126"/>
      <c r="G133" s="126"/>
      <c r="H133" s="126"/>
      <c r="I133" s="126"/>
      <c r="J133" s="126"/>
      <c r="K133" s="126"/>
      <c r="L133" s="126"/>
      <c r="M133" s="126"/>
      <c r="N133" s="126"/>
      <c r="O133" s="126"/>
      <c r="P133" s="126"/>
      <c r="Q133" s="126"/>
      <c r="R133" s="126"/>
      <c r="S133" s="126"/>
      <c r="T133" s="126"/>
      <c r="U133" s="126"/>
      <c r="V133" s="126"/>
      <c r="W133" s="126"/>
      <c r="X133" s="126"/>
      <c r="Y133" s="126"/>
      <c r="Z133" s="126"/>
    </row>
    <row r="134" ht="15.75" customHeight="1">
      <c r="A134" s="126"/>
      <c r="B134" s="126"/>
      <c r="C134" s="126"/>
      <c r="D134" s="126"/>
      <c r="E134" s="126"/>
      <c r="F134" s="126"/>
      <c r="G134" s="126"/>
      <c r="H134" s="126"/>
      <c r="I134" s="126"/>
      <c r="J134" s="126"/>
      <c r="K134" s="126"/>
      <c r="L134" s="126"/>
      <c r="M134" s="126"/>
      <c r="N134" s="126"/>
      <c r="O134" s="126"/>
      <c r="P134" s="126"/>
      <c r="Q134" s="126"/>
      <c r="R134" s="126"/>
      <c r="S134" s="126"/>
      <c r="T134" s="126"/>
      <c r="U134" s="126"/>
      <c r="V134" s="126"/>
      <c r="W134" s="126"/>
      <c r="X134" s="126"/>
      <c r="Y134" s="126"/>
      <c r="Z134" s="126"/>
    </row>
    <row r="135" ht="15.75" customHeight="1">
      <c r="A135" s="126"/>
      <c r="B135" s="126"/>
      <c r="C135" s="126"/>
      <c r="D135" s="126"/>
      <c r="E135" s="126"/>
      <c r="F135" s="126"/>
      <c r="G135" s="126"/>
      <c r="H135" s="126"/>
      <c r="I135" s="126"/>
      <c r="J135" s="126"/>
      <c r="K135" s="126"/>
      <c r="L135" s="126"/>
      <c r="M135" s="126"/>
      <c r="N135" s="126"/>
      <c r="O135" s="126"/>
      <c r="P135" s="126"/>
      <c r="Q135" s="126"/>
      <c r="R135" s="126"/>
      <c r="S135" s="126"/>
      <c r="T135" s="126"/>
      <c r="U135" s="126"/>
      <c r="V135" s="126"/>
      <c r="W135" s="126"/>
      <c r="X135" s="126"/>
      <c r="Y135" s="126"/>
      <c r="Z135" s="126"/>
    </row>
    <row r="136" ht="15.75" customHeight="1">
      <c r="A136" s="126"/>
      <c r="B136" s="126"/>
      <c r="C136" s="126"/>
      <c r="D136" s="126"/>
      <c r="E136" s="126"/>
      <c r="F136" s="126"/>
      <c r="G136" s="126"/>
      <c r="H136" s="126"/>
      <c r="I136" s="126"/>
      <c r="J136" s="126"/>
      <c r="K136" s="126"/>
      <c r="L136" s="126"/>
      <c r="M136" s="126"/>
      <c r="N136" s="126"/>
      <c r="O136" s="126"/>
      <c r="P136" s="126"/>
      <c r="Q136" s="126"/>
      <c r="R136" s="126"/>
      <c r="S136" s="126"/>
      <c r="T136" s="126"/>
      <c r="U136" s="126"/>
      <c r="V136" s="126"/>
      <c r="W136" s="126"/>
      <c r="X136" s="126"/>
      <c r="Y136" s="126"/>
      <c r="Z136" s="126"/>
    </row>
    <row r="137" ht="15.75" customHeight="1">
      <c r="A137" s="126"/>
      <c r="B137" s="126"/>
      <c r="C137" s="126"/>
      <c r="D137" s="126"/>
      <c r="E137" s="126"/>
      <c r="F137" s="126"/>
      <c r="G137" s="126"/>
      <c r="H137" s="126"/>
      <c r="I137" s="126"/>
      <c r="J137" s="126"/>
      <c r="K137" s="126"/>
      <c r="L137" s="126"/>
      <c r="M137" s="126"/>
      <c r="N137" s="126"/>
      <c r="O137" s="126"/>
      <c r="P137" s="126"/>
      <c r="Q137" s="126"/>
      <c r="R137" s="126"/>
      <c r="S137" s="126"/>
      <c r="T137" s="126"/>
      <c r="U137" s="126"/>
      <c r="V137" s="126"/>
      <c r="W137" s="126"/>
      <c r="X137" s="126"/>
      <c r="Y137" s="126"/>
      <c r="Z137" s="126"/>
    </row>
    <row r="138" ht="15.75" customHeight="1">
      <c r="A138" s="126"/>
      <c r="B138" s="126"/>
      <c r="C138" s="126"/>
      <c r="D138" s="126"/>
      <c r="E138" s="126"/>
      <c r="F138" s="126"/>
      <c r="G138" s="126"/>
      <c r="H138" s="126"/>
      <c r="I138" s="126"/>
      <c r="J138" s="126"/>
      <c r="K138" s="126"/>
      <c r="L138" s="126"/>
      <c r="M138" s="126"/>
      <c r="N138" s="126"/>
      <c r="O138" s="126"/>
      <c r="P138" s="126"/>
      <c r="Q138" s="126"/>
      <c r="R138" s="126"/>
      <c r="S138" s="126"/>
      <c r="T138" s="126"/>
      <c r="U138" s="126"/>
      <c r="V138" s="126"/>
      <c r="W138" s="126"/>
      <c r="X138" s="126"/>
      <c r="Y138" s="126"/>
      <c r="Z138" s="126"/>
    </row>
    <row r="139" ht="15.75" customHeight="1">
      <c r="A139" s="126"/>
      <c r="B139" s="126"/>
      <c r="C139" s="126"/>
      <c r="D139" s="126"/>
      <c r="E139" s="126"/>
      <c r="F139" s="126"/>
      <c r="G139" s="126"/>
      <c r="H139" s="126"/>
      <c r="I139" s="126"/>
      <c r="J139" s="126"/>
      <c r="K139" s="126"/>
      <c r="L139" s="126"/>
      <c r="M139" s="126"/>
      <c r="N139" s="126"/>
      <c r="O139" s="126"/>
      <c r="P139" s="126"/>
      <c r="Q139" s="126"/>
      <c r="R139" s="126"/>
      <c r="S139" s="126"/>
      <c r="T139" s="126"/>
      <c r="U139" s="126"/>
      <c r="V139" s="126"/>
      <c r="W139" s="126"/>
      <c r="X139" s="126"/>
      <c r="Y139" s="126"/>
      <c r="Z139" s="126"/>
    </row>
    <row r="140" ht="15.75" customHeight="1">
      <c r="A140" s="126"/>
      <c r="B140" s="126"/>
      <c r="C140" s="126"/>
      <c r="D140" s="126"/>
      <c r="E140" s="126"/>
      <c r="F140" s="126"/>
      <c r="G140" s="126"/>
      <c r="H140" s="126"/>
      <c r="I140" s="126"/>
      <c r="J140" s="126"/>
      <c r="K140" s="126"/>
      <c r="L140" s="126"/>
      <c r="M140" s="126"/>
      <c r="N140" s="126"/>
      <c r="O140" s="126"/>
      <c r="P140" s="126"/>
      <c r="Q140" s="126"/>
      <c r="R140" s="126"/>
      <c r="S140" s="126"/>
      <c r="T140" s="126"/>
      <c r="U140" s="126"/>
      <c r="V140" s="126"/>
      <c r="W140" s="126"/>
      <c r="X140" s="126"/>
      <c r="Y140" s="126"/>
      <c r="Z140" s="126"/>
    </row>
    <row r="141" ht="15.75" customHeight="1">
      <c r="A141" s="126"/>
      <c r="B141" s="126"/>
      <c r="C141" s="126"/>
      <c r="D141" s="126"/>
      <c r="E141" s="126"/>
      <c r="F141" s="126"/>
      <c r="G141" s="126"/>
      <c r="H141" s="126"/>
      <c r="I141" s="126"/>
      <c r="J141" s="126"/>
      <c r="K141" s="126"/>
      <c r="L141" s="126"/>
      <c r="M141" s="126"/>
      <c r="N141" s="126"/>
      <c r="O141" s="126"/>
      <c r="P141" s="126"/>
      <c r="Q141" s="126"/>
      <c r="R141" s="126"/>
      <c r="S141" s="126"/>
      <c r="T141" s="126"/>
      <c r="U141" s="126"/>
      <c r="V141" s="126"/>
      <c r="W141" s="126"/>
      <c r="X141" s="126"/>
      <c r="Y141" s="126"/>
      <c r="Z141" s="126"/>
    </row>
    <row r="142" ht="15.75" customHeight="1">
      <c r="A142" s="126"/>
      <c r="B142" s="126"/>
      <c r="C142" s="126"/>
      <c r="D142" s="126"/>
      <c r="E142" s="126"/>
      <c r="F142" s="126"/>
      <c r="G142" s="126"/>
      <c r="H142" s="126"/>
      <c r="I142" s="126"/>
      <c r="J142" s="126"/>
      <c r="K142" s="126"/>
      <c r="L142" s="126"/>
      <c r="M142" s="126"/>
      <c r="N142" s="126"/>
      <c r="O142" s="126"/>
      <c r="P142" s="126"/>
      <c r="Q142" s="126"/>
      <c r="R142" s="126"/>
      <c r="S142" s="126"/>
      <c r="T142" s="126"/>
      <c r="U142" s="126"/>
      <c r="V142" s="126"/>
      <c r="W142" s="126"/>
      <c r="X142" s="126"/>
      <c r="Y142" s="126"/>
      <c r="Z142" s="126"/>
    </row>
    <row r="143" ht="15.75" customHeight="1">
      <c r="A143" s="126"/>
      <c r="B143" s="126"/>
      <c r="C143" s="126"/>
      <c r="D143" s="126"/>
      <c r="E143" s="126"/>
      <c r="F143" s="126"/>
      <c r="G143" s="126"/>
      <c r="H143" s="126"/>
      <c r="I143" s="126"/>
      <c r="J143" s="126"/>
      <c r="K143" s="126"/>
      <c r="L143" s="126"/>
      <c r="M143" s="126"/>
      <c r="N143" s="126"/>
      <c r="O143" s="126"/>
      <c r="P143" s="126"/>
      <c r="Q143" s="126"/>
      <c r="R143" s="126"/>
      <c r="S143" s="126"/>
      <c r="T143" s="126"/>
      <c r="U143" s="126"/>
      <c r="V143" s="126"/>
      <c r="W143" s="126"/>
      <c r="X143" s="126"/>
      <c r="Y143" s="126"/>
      <c r="Z143" s="126"/>
    </row>
    <row r="144" ht="15.75" customHeight="1">
      <c r="A144" s="126"/>
      <c r="B144" s="126"/>
      <c r="C144" s="126"/>
      <c r="D144" s="126"/>
      <c r="E144" s="126"/>
      <c r="F144" s="126"/>
      <c r="G144" s="126"/>
      <c r="H144" s="126"/>
      <c r="I144" s="126"/>
      <c r="J144" s="126"/>
      <c r="K144" s="126"/>
      <c r="L144" s="126"/>
      <c r="M144" s="126"/>
      <c r="N144" s="126"/>
      <c r="O144" s="126"/>
      <c r="P144" s="126"/>
      <c r="Q144" s="126"/>
      <c r="R144" s="126"/>
      <c r="S144" s="126"/>
      <c r="T144" s="126"/>
      <c r="U144" s="126"/>
      <c r="V144" s="126"/>
      <c r="W144" s="126"/>
      <c r="X144" s="126"/>
      <c r="Y144" s="126"/>
      <c r="Z144" s="126"/>
    </row>
    <row r="145" ht="15.75" customHeight="1">
      <c r="A145" s="126"/>
      <c r="B145" s="126"/>
      <c r="C145" s="126"/>
      <c r="D145" s="126"/>
      <c r="E145" s="126"/>
      <c r="F145" s="126"/>
      <c r="G145" s="126"/>
      <c r="H145" s="126"/>
      <c r="I145" s="126"/>
      <c r="J145" s="126"/>
      <c r="K145" s="126"/>
      <c r="L145" s="126"/>
      <c r="M145" s="126"/>
      <c r="N145" s="126"/>
      <c r="O145" s="126"/>
      <c r="P145" s="126"/>
      <c r="Q145" s="126"/>
      <c r="R145" s="126"/>
      <c r="S145" s="126"/>
      <c r="T145" s="126"/>
      <c r="U145" s="126"/>
      <c r="V145" s="126"/>
      <c r="W145" s="126"/>
      <c r="X145" s="126"/>
      <c r="Y145" s="126"/>
      <c r="Z145" s="126"/>
    </row>
    <row r="146" ht="15.75" customHeight="1">
      <c r="A146" s="126"/>
      <c r="B146" s="126"/>
      <c r="C146" s="126"/>
      <c r="D146" s="126"/>
      <c r="E146" s="126"/>
      <c r="F146" s="126"/>
      <c r="G146" s="126"/>
      <c r="H146" s="126"/>
      <c r="I146" s="126"/>
      <c r="J146" s="126"/>
      <c r="K146" s="126"/>
      <c r="L146" s="126"/>
      <c r="M146" s="126"/>
      <c r="N146" s="126"/>
      <c r="O146" s="126"/>
      <c r="P146" s="126"/>
      <c r="Q146" s="126"/>
      <c r="R146" s="126"/>
      <c r="S146" s="126"/>
      <c r="T146" s="126"/>
      <c r="U146" s="126"/>
      <c r="V146" s="126"/>
      <c r="W146" s="126"/>
      <c r="X146" s="126"/>
      <c r="Y146" s="126"/>
      <c r="Z146" s="126"/>
    </row>
    <row r="147" ht="15.75" customHeight="1">
      <c r="A147" s="126"/>
      <c r="B147" s="126"/>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126"/>
    </row>
    <row r="148" ht="15.75" customHeight="1">
      <c r="A148" s="126"/>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126"/>
    </row>
    <row r="149" ht="15.75" customHeight="1">
      <c r="A149" s="126"/>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126"/>
    </row>
    <row r="150" ht="15.75" customHeight="1">
      <c r="A150" s="126"/>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126"/>
    </row>
    <row r="151" ht="15.75" customHeight="1">
      <c r="A151" s="126"/>
      <c r="B151" s="126"/>
      <c r="C151" s="126"/>
      <c r="D151" s="126"/>
      <c r="E151" s="126"/>
      <c r="F151" s="126"/>
      <c r="G151" s="126"/>
      <c r="H151" s="126"/>
      <c r="I151" s="126"/>
      <c r="J151" s="126"/>
      <c r="K151" s="126"/>
      <c r="L151" s="126"/>
      <c r="M151" s="126"/>
      <c r="N151" s="126"/>
      <c r="O151" s="126"/>
      <c r="P151" s="126"/>
      <c r="Q151" s="126"/>
      <c r="R151" s="126"/>
      <c r="S151" s="126"/>
      <c r="T151" s="126"/>
      <c r="U151" s="126"/>
      <c r="V151" s="126"/>
      <c r="W151" s="126"/>
      <c r="X151" s="126"/>
      <c r="Y151" s="126"/>
      <c r="Z151" s="126"/>
    </row>
    <row r="152" ht="15.75" customHeight="1">
      <c r="A152" s="126"/>
      <c r="B152" s="126"/>
      <c r="C152" s="126"/>
      <c r="D152" s="126"/>
      <c r="E152" s="126"/>
      <c r="F152" s="126"/>
      <c r="G152" s="126"/>
      <c r="H152" s="126"/>
      <c r="I152" s="126"/>
      <c r="J152" s="126"/>
      <c r="K152" s="126"/>
      <c r="L152" s="126"/>
      <c r="M152" s="126"/>
      <c r="N152" s="126"/>
      <c r="O152" s="126"/>
      <c r="P152" s="126"/>
      <c r="Q152" s="126"/>
      <c r="R152" s="126"/>
      <c r="S152" s="126"/>
      <c r="T152" s="126"/>
      <c r="U152" s="126"/>
      <c r="V152" s="126"/>
      <c r="W152" s="126"/>
      <c r="X152" s="126"/>
      <c r="Y152" s="126"/>
      <c r="Z152" s="126"/>
    </row>
    <row r="153" ht="15.75" customHeight="1">
      <c r="A153" s="126"/>
      <c r="B153" s="126"/>
      <c r="C153" s="126"/>
      <c r="D153" s="126"/>
      <c r="E153" s="126"/>
      <c r="F153" s="126"/>
      <c r="G153" s="126"/>
      <c r="H153" s="126"/>
      <c r="I153" s="126"/>
      <c r="J153" s="126"/>
      <c r="K153" s="126"/>
      <c r="L153" s="126"/>
      <c r="M153" s="126"/>
      <c r="N153" s="126"/>
      <c r="O153" s="126"/>
      <c r="P153" s="126"/>
      <c r="Q153" s="126"/>
      <c r="R153" s="126"/>
      <c r="S153" s="126"/>
      <c r="T153" s="126"/>
      <c r="U153" s="126"/>
      <c r="V153" s="126"/>
      <c r="W153" s="126"/>
      <c r="X153" s="126"/>
      <c r="Y153" s="126"/>
      <c r="Z153" s="126"/>
    </row>
    <row r="154" ht="15.75" customHeight="1">
      <c r="A154" s="126"/>
      <c r="B154" s="126"/>
      <c r="C154" s="126"/>
      <c r="D154" s="126"/>
      <c r="E154" s="126"/>
      <c r="F154" s="126"/>
      <c r="G154" s="126"/>
      <c r="H154" s="126"/>
      <c r="I154" s="126"/>
      <c r="J154" s="126"/>
      <c r="K154" s="126"/>
      <c r="L154" s="126"/>
      <c r="M154" s="126"/>
      <c r="N154" s="126"/>
      <c r="O154" s="126"/>
      <c r="P154" s="126"/>
      <c r="Q154" s="126"/>
      <c r="R154" s="126"/>
      <c r="S154" s="126"/>
      <c r="T154" s="126"/>
      <c r="U154" s="126"/>
      <c r="V154" s="126"/>
      <c r="W154" s="126"/>
      <c r="X154" s="126"/>
      <c r="Y154" s="126"/>
      <c r="Z154" s="126"/>
    </row>
    <row r="155" ht="15.75" customHeight="1">
      <c r="A155" s="126"/>
      <c r="B155" s="126"/>
      <c r="C155" s="126"/>
      <c r="D155" s="126"/>
      <c r="E155" s="126"/>
      <c r="F155" s="126"/>
      <c r="G155" s="126"/>
      <c r="H155" s="126"/>
      <c r="I155" s="126"/>
      <c r="J155" s="126"/>
      <c r="K155" s="126"/>
      <c r="L155" s="126"/>
      <c r="M155" s="126"/>
      <c r="N155" s="126"/>
      <c r="O155" s="126"/>
      <c r="P155" s="126"/>
      <c r="Q155" s="126"/>
      <c r="R155" s="126"/>
      <c r="S155" s="126"/>
      <c r="T155" s="126"/>
      <c r="U155" s="126"/>
      <c r="V155" s="126"/>
      <c r="W155" s="126"/>
      <c r="X155" s="126"/>
      <c r="Y155" s="126"/>
      <c r="Z155" s="126"/>
    </row>
    <row r="156" ht="15.75" customHeight="1">
      <c r="A156" s="126"/>
      <c r="B156" s="126"/>
      <c r="C156" s="126"/>
      <c r="D156" s="126"/>
      <c r="E156" s="126"/>
      <c r="F156" s="126"/>
      <c r="G156" s="126"/>
      <c r="H156" s="126"/>
      <c r="I156" s="126"/>
      <c r="J156" s="126"/>
      <c r="K156" s="126"/>
      <c r="L156" s="126"/>
      <c r="M156" s="126"/>
      <c r="N156" s="126"/>
      <c r="O156" s="126"/>
      <c r="P156" s="126"/>
      <c r="Q156" s="126"/>
      <c r="R156" s="126"/>
      <c r="S156" s="126"/>
      <c r="T156" s="126"/>
      <c r="U156" s="126"/>
      <c r="V156" s="126"/>
      <c r="W156" s="126"/>
      <c r="X156" s="126"/>
      <c r="Y156" s="126"/>
      <c r="Z156" s="126"/>
    </row>
    <row r="157" ht="15.75" customHeight="1">
      <c r="A157" s="126"/>
      <c r="B157" s="126"/>
      <c r="C157" s="126"/>
      <c r="D157" s="126"/>
      <c r="E157" s="126"/>
      <c r="F157" s="126"/>
      <c r="G157" s="126"/>
      <c r="H157" s="126"/>
      <c r="I157" s="126"/>
      <c r="J157" s="126"/>
      <c r="K157" s="126"/>
      <c r="L157" s="126"/>
      <c r="M157" s="126"/>
      <c r="N157" s="126"/>
      <c r="O157" s="126"/>
      <c r="P157" s="126"/>
      <c r="Q157" s="126"/>
      <c r="R157" s="126"/>
      <c r="S157" s="126"/>
      <c r="T157" s="126"/>
      <c r="U157" s="126"/>
      <c r="V157" s="126"/>
      <c r="W157" s="126"/>
      <c r="X157" s="126"/>
      <c r="Y157" s="126"/>
      <c r="Z157" s="126"/>
    </row>
    <row r="158" ht="15.75" customHeight="1">
      <c r="A158" s="126"/>
      <c r="B158" s="126"/>
      <c r="C158" s="126"/>
      <c r="D158" s="126"/>
      <c r="E158" s="126"/>
      <c r="F158" s="126"/>
      <c r="G158" s="126"/>
      <c r="H158" s="126"/>
      <c r="I158" s="126"/>
      <c r="J158" s="126"/>
      <c r="K158" s="126"/>
      <c r="L158" s="126"/>
      <c r="M158" s="126"/>
      <c r="N158" s="126"/>
      <c r="O158" s="126"/>
      <c r="P158" s="126"/>
      <c r="Q158" s="126"/>
      <c r="R158" s="126"/>
      <c r="S158" s="126"/>
      <c r="T158" s="126"/>
      <c r="U158" s="126"/>
      <c r="V158" s="126"/>
      <c r="W158" s="126"/>
      <c r="X158" s="126"/>
      <c r="Y158" s="126"/>
      <c r="Z158" s="126"/>
    </row>
    <row r="159" ht="15.75" customHeight="1">
      <c r="A159" s="126"/>
      <c r="B159" s="126"/>
      <c r="C159" s="126"/>
      <c r="D159" s="126"/>
      <c r="E159" s="126"/>
      <c r="F159" s="126"/>
      <c r="G159" s="126"/>
      <c r="H159" s="126"/>
      <c r="I159" s="126"/>
      <c r="J159" s="126"/>
      <c r="K159" s="126"/>
      <c r="L159" s="126"/>
      <c r="M159" s="126"/>
      <c r="N159" s="126"/>
      <c r="O159" s="126"/>
      <c r="P159" s="126"/>
      <c r="Q159" s="126"/>
      <c r="R159" s="126"/>
      <c r="S159" s="126"/>
      <c r="T159" s="126"/>
      <c r="U159" s="126"/>
      <c r="V159" s="126"/>
      <c r="W159" s="126"/>
      <c r="X159" s="126"/>
      <c r="Y159" s="126"/>
      <c r="Z159" s="126"/>
    </row>
    <row r="160" ht="15.75" customHeight="1">
      <c r="A160" s="126"/>
      <c r="B160" s="126"/>
      <c r="C160" s="126"/>
      <c r="D160" s="126"/>
      <c r="E160" s="126"/>
      <c r="F160" s="126"/>
      <c r="G160" s="126"/>
      <c r="H160" s="126"/>
      <c r="I160" s="126"/>
      <c r="J160" s="126"/>
      <c r="K160" s="126"/>
      <c r="L160" s="126"/>
      <c r="M160" s="126"/>
      <c r="N160" s="126"/>
      <c r="O160" s="126"/>
      <c r="P160" s="126"/>
      <c r="Q160" s="126"/>
      <c r="R160" s="126"/>
      <c r="S160" s="126"/>
      <c r="T160" s="126"/>
      <c r="U160" s="126"/>
      <c r="V160" s="126"/>
      <c r="W160" s="126"/>
      <c r="X160" s="126"/>
      <c r="Y160" s="126"/>
      <c r="Z160" s="126"/>
    </row>
    <row r="161" ht="15.75" customHeight="1">
      <c r="A161" s="126"/>
      <c r="B161" s="126"/>
      <c r="C161" s="126"/>
      <c r="D161" s="126"/>
      <c r="E161" s="126"/>
      <c r="F161" s="126"/>
      <c r="G161" s="126"/>
      <c r="H161" s="126"/>
      <c r="I161" s="126"/>
      <c r="J161" s="126"/>
      <c r="K161" s="126"/>
      <c r="L161" s="126"/>
      <c r="M161" s="126"/>
      <c r="N161" s="126"/>
      <c r="O161" s="126"/>
      <c r="P161" s="126"/>
      <c r="Q161" s="126"/>
      <c r="R161" s="126"/>
      <c r="S161" s="126"/>
      <c r="T161" s="126"/>
      <c r="U161" s="126"/>
      <c r="V161" s="126"/>
      <c r="W161" s="126"/>
      <c r="X161" s="126"/>
      <c r="Y161" s="126"/>
      <c r="Z161" s="126"/>
    </row>
    <row r="162" ht="15.75" customHeight="1">
      <c r="A162" s="126"/>
      <c r="B162" s="126"/>
      <c r="C162" s="126"/>
      <c r="D162" s="126"/>
      <c r="E162" s="126"/>
      <c r="F162" s="126"/>
      <c r="G162" s="126"/>
      <c r="H162" s="126"/>
      <c r="I162" s="126"/>
      <c r="J162" s="126"/>
      <c r="K162" s="126"/>
      <c r="L162" s="126"/>
      <c r="M162" s="126"/>
      <c r="N162" s="126"/>
      <c r="O162" s="126"/>
      <c r="P162" s="126"/>
      <c r="Q162" s="126"/>
      <c r="R162" s="126"/>
      <c r="S162" s="126"/>
      <c r="T162" s="126"/>
      <c r="U162" s="126"/>
      <c r="V162" s="126"/>
      <c r="W162" s="126"/>
      <c r="X162" s="126"/>
      <c r="Y162" s="126"/>
      <c r="Z162" s="126"/>
    </row>
    <row r="163" ht="15.75" customHeight="1">
      <c r="A163" s="126"/>
      <c r="B163" s="126"/>
      <c r="C163" s="126"/>
      <c r="D163" s="126"/>
      <c r="E163" s="126"/>
      <c r="F163" s="126"/>
      <c r="G163" s="126"/>
      <c r="H163" s="126"/>
      <c r="I163" s="126"/>
      <c r="J163" s="126"/>
      <c r="K163" s="126"/>
      <c r="L163" s="126"/>
      <c r="M163" s="126"/>
      <c r="N163" s="126"/>
      <c r="O163" s="126"/>
      <c r="P163" s="126"/>
      <c r="Q163" s="126"/>
      <c r="R163" s="126"/>
      <c r="S163" s="126"/>
      <c r="T163" s="126"/>
      <c r="U163" s="126"/>
      <c r="V163" s="126"/>
      <c r="W163" s="126"/>
      <c r="X163" s="126"/>
      <c r="Y163" s="126"/>
      <c r="Z163" s="126"/>
    </row>
    <row r="164" ht="15.75" customHeight="1">
      <c r="A164" s="126"/>
      <c r="B164" s="126"/>
      <c r="C164" s="126"/>
      <c r="D164" s="126"/>
      <c r="E164" s="126"/>
      <c r="F164" s="126"/>
      <c r="G164" s="126"/>
      <c r="H164" s="126"/>
      <c r="I164" s="126"/>
      <c r="J164" s="126"/>
      <c r="K164" s="126"/>
      <c r="L164" s="126"/>
      <c r="M164" s="126"/>
      <c r="N164" s="126"/>
      <c r="O164" s="126"/>
      <c r="P164" s="126"/>
      <c r="Q164" s="126"/>
      <c r="R164" s="126"/>
      <c r="S164" s="126"/>
      <c r="T164" s="126"/>
      <c r="U164" s="126"/>
      <c r="V164" s="126"/>
      <c r="W164" s="126"/>
      <c r="X164" s="126"/>
      <c r="Y164" s="126"/>
      <c r="Z164" s="126"/>
    </row>
    <row r="165" ht="15.75" customHeight="1">
      <c r="A165" s="126"/>
      <c r="B165" s="126"/>
      <c r="C165" s="126"/>
      <c r="D165" s="126"/>
      <c r="E165" s="126"/>
      <c r="F165" s="126"/>
      <c r="G165" s="126"/>
      <c r="H165" s="126"/>
      <c r="I165" s="126"/>
      <c r="J165" s="126"/>
      <c r="K165" s="126"/>
      <c r="L165" s="126"/>
      <c r="M165" s="126"/>
      <c r="N165" s="126"/>
      <c r="O165" s="126"/>
      <c r="P165" s="126"/>
      <c r="Q165" s="126"/>
      <c r="R165" s="126"/>
      <c r="S165" s="126"/>
      <c r="T165" s="126"/>
      <c r="U165" s="126"/>
      <c r="V165" s="126"/>
      <c r="W165" s="126"/>
      <c r="X165" s="126"/>
      <c r="Y165" s="126"/>
      <c r="Z165" s="126"/>
    </row>
    <row r="166" ht="15.75" customHeight="1">
      <c r="A166" s="126"/>
      <c r="B166" s="126"/>
      <c r="C166" s="126"/>
      <c r="D166" s="126"/>
      <c r="E166" s="126"/>
      <c r="F166" s="126"/>
      <c r="G166" s="126"/>
      <c r="H166" s="126"/>
      <c r="I166" s="126"/>
      <c r="J166" s="126"/>
      <c r="K166" s="126"/>
      <c r="L166" s="126"/>
      <c r="M166" s="126"/>
      <c r="N166" s="126"/>
      <c r="O166" s="126"/>
      <c r="P166" s="126"/>
      <c r="Q166" s="126"/>
      <c r="R166" s="126"/>
      <c r="S166" s="126"/>
      <c r="T166" s="126"/>
      <c r="U166" s="126"/>
      <c r="V166" s="126"/>
      <c r="W166" s="126"/>
      <c r="X166" s="126"/>
      <c r="Y166" s="126"/>
      <c r="Z166" s="126"/>
    </row>
    <row r="167" ht="15.75" customHeight="1">
      <c r="A167" s="126"/>
      <c r="B167" s="126"/>
      <c r="C167" s="126"/>
      <c r="D167" s="126"/>
      <c r="E167" s="126"/>
      <c r="F167" s="126"/>
      <c r="G167" s="126"/>
      <c r="H167" s="126"/>
      <c r="I167" s="126"/>
      <c r="J167" s="126"/>
      <c r="K167" s="126"/>
      <c r="L167" s="126"/>
      <c r="M167" s="126"/>
      <c r="N167" s="126"/>
      <c r="O167" s="126"/>
      <c r="P167" s="126"/>
      <c r="Q167" s="126"/>
      <c r="R167" s="126"/>
      <c r="S167" s="126"/>
      <c r="T167" s="126"/>
      <c r="U167" s="126"/>
      <c r="V167" s="126"/>
      <c r="W167" s="126"/>
      <c r="X167" s="126"/>
      <c r="Y167" s="126"/>
      <c r="Z167" s="126"/>
    </row>
    <row r="168" ht="15.75" customHeight="1">
      <c r="A168" s="126"/>
      <c r="B168" s="126"/>
      <c r="C168" s="126"/>
      <c r="D168" s="126"/>
      <c r="E168" s="126"/>
      <c r="F168" s="126"/>
      <c r="G168" s="126"/>
      <c r="H168" s="126"/>
      <c r="I168" s="126"/>
      <c r="J168" s="126"/>
      <c r="K168" s="126"/>
      <c r="L168" s="126"/>
      <c r="M168" s="126"/>
      <c r="N168" s="126"/>
      <c r="O168" s="126"/>
      <c r="P168" s="126"/>
      <c r="Q168" s="126"/>
      <c r="R168" s="126"/>
      <c r="S168" s="126"/>
      <c r="T168" s="126"/>
      <c r="U168" s="126"/>
      <c r="V168" s="126"/>
      <c r="W168" s="126"/>
      <c r="X168" s="126"/>
      <c r="Y168" s="126"/>
      <c r="Z168" s="126"/>
    </row>
    <row r="169" ht="15.75" customHeight="1">
      <c r="A169" s="126"/>
      <c r="B169" s="126"/>
      <c r="C169" s="126"/>
      <c r="D169" s="126"/>
      <c r="E169" s="126"/>
      <c r="F169" s="126"/>
      <c r="G169" s="126"/>
      <c r="H169" s="126"/>
      <c r="I169" s="126"/>
      <c r="J169" s="126"/>
      <c r="K169" s="126"/>
      <c r="L169" s="126"/>
      <c r="M169" s="126"/>
      <c r="N169" s="126"/>
      <c r="O169" s="126"/>
      <c r="P169" s="126"/>
      <c r="Q169" s="126"/>
      <c r="R169" s="126"/>
      <c r="S169" s="126"/>
      <c r="T169" s="126"/>
      <c r="U169" s="126"/>
      <c r="V169" s="126"/>
      <c r="W169" s="126"/>
      <c r="X169" s="126"/>
      <c r="Y169" s="126"/>
      <c r="Z169" s="126"/>
    </row>
    <row r="170" ht="15.75" customHeight="1">
      <c r="A170" s="126"/>
      <c r="B170" s="126"/>
      <c r="C170" s="126"/>
      <c r="D170" s="126"/>
      <c r="E170" s="126"/>
      <c r="F170" s="126"/>
      <c r="G170" s="126"/>
      <c r="H170" s="126"/>
      <c r="I170" s="126"/>
      <c r="J170" s="126"/>
      <c r="K170" s="126"/>
      <c r="L170" s="126"/>
      <c r="M170" s="126"/>
      <c r="N170" s="126"/>
      <c r="O170" s="126"/>
      <c r="P170" s="126"/>
      <c r="Q170" s="126"/>
      <c r="R170" s="126"/>
      <c r="S170" s="126"/>
      <c r="T170" s="126"/>
      <c r="U170" s="126"/>
      <c r="V170" s="126"/>
      <c r="W170" s="126"/>
      <c r="X170" s="126"/>
      <c r="Y170" s="126"/>
      <c r="Z170" s="126"/>
    </row>
    <row r="171" ht="15.75" customHeight="1">
      <c r="A171" s="126"/>
      <c r="B171" s="126"/>
      <c r="C171" s="126"/>
      <c r="D171" s="126"/>
      <c r="E171" s="126"/>
      <c r="F171" s="126"/>
      <c r="G171" s="126"/>
      <c r="H171" s="126"/>
      <c r="I171" s="126"/>
      <c r="J171" s="126"/>
      <c r="K171" s="126"/>
      <c r="L171" s="126"/>
      <c r="M171" s="126"/>
      <c r="N171" s="126"/>
      <c r="O171" s="126"/>
      <c r="P171" s="126"/>
      <c r="Q171" s="126"/>
      <c r="R171" s="126"/>
      <c r="S171" s="126"/>
      <c r="T171" s="126"/>
      <c r="U171" s="126"/>
      <c r="V171" s="126"/>
      <c r="W171" s="126"/>
      <c r="X171" s="126"/>
      <c r="Y171" s="126"/>
      <c r="Z171" s="126"/>
    </row>
    <row r="172" ht="15.75" customHeight="1">
      <c r="A172" s="126"/>
      <c r="B172" s="126"/>
      <c r="C172" s="126"/>
      <c r="D172" s="126"/>
      <c r="E172" s="126"/>
      <c r="F172" s="126"/>
      <c r="G172" s="126"/>
      <c r="H172" s="126"/>
      <c r="I172" s="126"/>
      <c r="J172" s="126"/>
      <c r="K172" s="126"/>
      <c r="L172" s="126"/>
      <c r="M172" s="126"/>
      <c r="N172" s="126"/>
      <c r="O172" s="126"/>
      <c r="P172" s="126"/>
      <c r="Q172" s="126"/>
      <c r="R172" s="126"/>
      <c r="S172" s="126"/>
      <c r="T172" s="126"/>
      <c r="U172" s="126"/>
      <c r="V172" s="126"/>
      <c r="W172" s="126"/>
      <c r="X172" s="126"/>
      <c r="Y172" s="126"/>
      <c r="Z172" s="126"/>
    </row>
    <row r="173" ht="15.75" customHeight="1">
      <c r="A173" s="126"/>
      <c r="B173" s="126"/>
      <c r="C173" s="126"/>
      <c r="D173" s="126"/>
      <c r="E173" s="126"/>
      <c r="F173" s="126"/>
      <c r="G173" s="126"/>
      <c r="H173" s="126"/>
      <c r="I173" s="126"/>
      <c r="J173" s="126"/>
      <c r="K173" s="126"/>
      <c r="L173" s="126"/>
      <c r="M173" s="126"/>
      <c r="N173" s="126"/>
      <c r="O173" s="126"/>
      <c r="P173" s="126"/>
      <c r="Q173" s="126"/>
      <c r="R173" s="126"/>
      <c r="S173" s="126"/>
      <c r="T173" s="126"/>
      <c r="U173" s="126"/>
      <c r="V173" s="126"/>
      <c r="W173" s="126"/>
      <c r="X173" s="126"/>
      <c r="Y173" s="126"/>
      <c r="Z173" s="126"/>
    </row>
    <row r="174" ht="15.75" customHeight="1">
      <c r="A174" s="126"/>
      <c r="B174" s="126"/>
      <c r="C174" s="126"/>
      <c r="D174" s="126"/>
      <c r="E174" s="126"/>
      <c r="F174" s="126"/>
      <c r="G174" s="126"/>
      <c r="H174" s="126"/>
      <c r="I174" s="126"/>
      <c r="J174" s="126"/>
      <c r="K174" s="126"/>
      <c r="L174" s="126"/>
      <c r="M174" s="126"/>
      <c r="N174" s="126"/>
      <c r="O174" s="126"/>
      <c r="P174" s="126"/>
      <c r="Q174" s="126"/>
      <c r="R174" s="126"/>
      <c r="S174" s="126"/>
      <c r="T174" s="126"/>
      <c r="U174" s="126"/>
      <c r="V174" s="126"/>
      <c r="W174" s="126"/>
      <c r="X174" s="126"/>
      <c r="Y174" s="126"/>
      <c r="Z174" s="126"/>
    </row>
    <row r="175" ht="15.75" customHeight="1">
      <c r="A175" s="126"/>
      <c r="B175" s="126"/>
      <c r="C175" s="126"/>
      <c r="D175" s="126"/>
      <c r="E175" s="126"/>
      <c r="F175" s="126"/>
      <c r="G175" s="126"/>
      <c r="H175" s="126"/>
      <c r="I175" s="126"/>
      <c r="J175" s="126"/>
      <c r="K175" s="126"/>
      <c r="L175" s="126"/>
      <c r="M175" s="126"/>
      <c r="N175" s="126"/>
      <c r="O175" s="126"/>
      <c r="P175" s="126"/>
      <c r="Q175" s="126"/>
      <c r="R175" s="126"/>
      <c r="S175" s="126"/>
      <c r="T175" s="126"/>
      <c r="U175" s="126"/>
      <c r="V175" s="126"/>
      <c r="W175" s="126"/>
      <c r="X175" s="126"/>
      <c r="Y175" s="126"/>
      <c r="Z175" s="126"/>
    </row>
    <row r="176" ht="15.75" customHeight="1">
      <c r="A176" s="126"/>
      <c r="B176" s="126"/>
      <c r="C176" s="126"/>
      <c r="D176" s="126"/>
      <c r="E176" s="126"/>
      <c r="F176" s="126"/>
      <c r="G176" s="126"/>
      <c r="H176" s="126"/>
      <c r="I176" s="126"/>
      <c r="J176" s="126"/>
      <c r="K176" s="126"/>
      <c r="L176" s="126"/>
      <c r="M176" s="126"/>
      <c r="N176" s="126"/>
      <c r="O176" s="126"/>
      <c r="P176" s="126"/>
      <c r="Q176" s="126"/>
      <c r="R176" s="126"/>
      <c r="S176" s="126"/>
      <c r="T176" s="126"/>
      <c r="U176" s="126"/>
      <c r="V176" s="126"/>
      <c r="W176" s="126"/>
      <c r="X176" s="126"/>
      <c r="Y176" s="126"/>
      <c r="Z176" s="126"/>
    </row>
    <row r="177" ht="15.75" customHeight="1">
      <c r="A177" s="126"/>
      <c r="B177" s="126"/>
      <c r="C177" s="126"/>
      <c r="D177" s="126"/>
      <c r="E177" s="126"/>
      <c r="F177" s="126"/>
      <c r="G177" s="126"/>
      <c r="H177" s="126"/>
      <c r="I177" s="126"/>
      <c r="J177" s="126"/>
      <c r="K177" s="126"/>
      <c r="L177" s="126"/>
      <c r="M177" s="126"/>
      <c r="N177" s="126"/>
      <c r="O177" s="126"/>
      <c r="P177" s="126"/>
      <c r="Q177" s="126"/>
      <c r="R177" s="126"/>
      <c r="S177" s="126"/>
      <c r="T177" s="126"/>
      <c r="U177" s="126"/>
      <c r="V177" s="126"/>
      <c r="W177" s="126"/>
      <c r="X177" s="126"/>
      <c r="Y177" s="126"/>
      <c r="Z177" s="126"/>
    </row>
    <row r="178" ht="15.75" customHeight="1">
      <c r="A178" s="126"/>
      <c r="B178" s="126"/>
      <c r="C178" s="126"/>
      <c r="D178" s="126"/>
      <c r="E178" s="126"/>
      <c r="F178" s="126"/>
      <c r="G178" s="126"/>
      <c r="H178" s="126"/>
      <c r="I178" s="126"/>
      <c r="J178" s="126"/>
      <c r="K178" s="126"/>
      <c r="L178" s="126"/>
      <c r="M178" s="126"/>
      <c r="N178" s="126"/>
      <c r="O178" s="126"/>
      <c r="P178" s="126"/>
      <c r="Q178" s="126"/>
      <c r="R178" s="126"/>
      <c r="S178" s="126"/>
      <c r="T178" s="126"/>
      <c r="U178" s="126"/>
      <c r="V178" s="126"/>
      <c r="W178" s="126"/>
      <c r="X178" s="126"/>
      <c r="Y178" s="126"/>
      <c r="Z178" s="126"/>
    </row>
    <row r="179" ht="15.75" customHeight="1">
      <c r="A179" s="126"/>
      <c r="B179" s="126"/>
      <c r="C179" s="126"/>
      <c r="D179" s="126"/>
      <c r="E179" s="126"/>
      <c r="F179" s="126"/>
      <c r="G179" s="126"/>
      <c r="H179" s="126"/>
      <c r="I179" s="126"/>
      <c r="J179" s="126"/>
      <c r="K179" s="126"/>
      <c r="L179" s="126"/>
      <c r="M179" s="126"/>
      <c r="N179" s="126"/>
      <c r="O179" s="126"/>
      <c r="P179" s="126"/>
      <c r="Q179" s="126"/>
      <c r="R179" s="126"/>
      <c r="S179" s="126"/>
      <c r="T179" s="126"/>
      <c r="U179" s="126"/>
      <c r="V179" s="126"/>
      <c r="W179" s="126"/>
      <c r="X179" s="126"/>
      <c r="Y179" s="126"/>
      <c r="Z179" s="126"/>
    </row>
    <row r="180" ht="15.75" customHeight="1">
      <c r="A180" s="126"/>
      <c r="B180" s="126"/>
      <c r="C180" s="126"/>
      <c r="D180" s="126"/>
      <c r="E180" s="126"/>
      <c r="F180" s="126"/>
      <c r="G180" s="126"/>
      <c r="H180" s="126"/>
      <c r="I180" s="126"/>
      <c r="J180" s="126"/>
      <c r="K180" s="126"/>
      <c r="L180" s="126"/>
      <c r="M180" s="126"/>
      <c r="N180" s="126"/>
      <c r="O180" s="126"/>
      <c r="P180" s="126"/>
      <c r="Q180" s="126"/>
      <c r="R180" s="126"/>
      <c r="S180" s="126"/>
      <c r="T180" s="126"/>
      <c r="U180" s="126"/>
      <c r="V180" s="126"/>
      <c r="W180" s="126"/>
      <c r="X180" s="126"/>
      <c r="Y180" s="126"/>
      <c r="Z180" s="126"/>
    </row>
    <row r="181" ht="15.75" customHeight="1">
      <c r="A181" s="126"/>
      <c r="B181" s="126"/>
      <c r="C181" s="126"/>
      <c r="D181" s="126"/>
      <c r="E181" s="126"/>
      <c r="F181" s="126"/>
      <c r="G181" s="126"/>
      <c r="H181" s="126"/>
      <c r="I181" s="126"/>
      <c r="J181" s="126"/>
      <c r="K181" s="126"/>
      <c r="L181" s="126"/>
      <c r="M181" s="126"/>
      <c r="N181" s="126"/>
      <c r="O181" s="126"/>
      <c r="P181" s="126"/>
      <c r="Q181" s="126"/>
      <c r="R181" s="126"/>
      <c r="S181" s="126"/>
      <c r="T181" s="126"/>
      <c r="U181" s="126"/>
      <c r="V181" s="126"/>
      <c r="W181" s="126"/>
      <c r="X181" s="126"/>
      <c r="Y181" s="126"/>
      <c r="Z181" s="126"/>
    </row>
    <row r="182" ht="15.75" customHeight="1">
      <c r="A182" s="126"/>
      <c r="B182" s="126"/>
      <c r="C182" s="126"/>
      <c r="D182" s="126"/>
      <c r="E182" s="126"/>
      <c r="F182" s="126"/>
      <c r="G182" s="126"/>
      <c r="H182" s="126"/>
      <c r="I182" s="126"/>
      <c r="J182" s="126"/>
      <c r="K182" s="126"/>
      <c r="L182" s="126"/>
      <c r="M182" s="126"/>
      <c r="N182" s="126"/>
      <c r="O182" s="126"/>
      <c r="P182" s="126"/>
      <c r="Q182" s="126"/>
      <c r="R182" s="126"/>
      <c r="S182" s="126"/>
      <c r="T182" s="126"/>
      <c r="U182" s="126"/>
      <c r="V182" s="126"/>
      <c r="W182" s="126"/>
      <c r="X182" s="126"/>
      <c r="Y182" s="126"/>
      <c r="Z182" s="126"/>
    </row>
    <row r="183" ht="15.75" customHeight="1">
      <c r="A183" s="126"/>
      <c r="B183" s="126"/>
      <c r="C183" s="126"/>
      <c r="D183" s="126"/>
      <c r="E183" s="126"/>
      <c r="F183" s="126"/>
      <c r="G183" s="126"/>
      <c r="H183" s="126"/>
      <c r="I183" s="126"/>
      <c r="J183" s="126"/>
      <c r="K183" s="126"/>
      <c r="L183" s="126"/>
      <c r="M183" s="126"/>
      <c r="N183" s="126"/>
      <c r="O183" s="126"/>
      <c r="P183" s="126"/>
      <c r="Q183" s="126"/>
      <c r="R183" s="126"/>
      <c r="S183" s="126"/>
      <c r="T183" s="126"/>
      <c r="U183" s="126"/>
      <c r="V183" s="126"/>
      <c r="W183" s="126"/>
      <c r="X183" s="126"/>
      <c r="Y183" s="126"/>
      <c r="Z183" s="126"/>
    </row>
    <row r="184" ht="15.75" customHeight="1">
      <c r="A184" s="126"/>
      <c r="B184" s="126"/>
      <c r="C184" s="126"/>
      <c r="D184" s="126"/>
      <c r="E184" s="126"/>
      <c r="F184" s="126"/>
      <c r="G184" s="126"/>
      <c r="H184" s="126"/>
      <c r="I184" s="126"/>
      <c r="J184" s="126"/>
      <c r="K184" s="126"/>
      <c r="L184" s="126"/>
      <c r="M184" s="126"/>
      <c r="N184" s="126"/>
      <c r="O184" s="126"/>
      <c r="P184" s="126"/>
      <c r="Q184" s="126"/>
      <c r="R184" s="126"/>
      <c r="S184" s="126"/>
      <c r="T184" s="126"/>
      <c r="U184" s="126"/>
      <c r="V184" s="126"/>
      <c r="W184" s="126"/>
      <c r="X184" s="126"/>
      <c r="Y184" s="126"/>
      <c r="Z184" s="126"/>
    </row>
    <row r="185" ht="15.75" customHeight="1">
      <c r="A185" s="126"/>
      <c r="B185" s="126"/>
      <c r="C185" s="126"/>
      <c r="D185" s="126"/>
      <c r="E185" s="126"/>
      <c r="F185" s="126"/>
      <c r="G185" s="126"/>
      <c r="H185" s="126"/>
      <c r="I185" s="126"/>
      <c r="J185" s="126"/>
      <c r="K185" s="126"/>
      <c r="L185" s="126"/>
      <c r="M185" s="126"/>
      <c r="N185" s="126"/>
      <c r="O185" s="126"/>
      <c r="P185" s="126"/>
      <c r="Q185" s="126"/>
      <c r="R185" s="126"/>
      <c r="S185" s="126"/>
      <c r="T185" s="126"/>
      <c r="U185" s="126"/>
      <c r="V185" s="126"/>
      <c r="W185" s="126"/>
      <c r="X185" s="126"/>
      <c r="Y185" s="126"/>
      <c r="Z185" s="126"/>
    </row>
    <row r="186" ht="15.75" customHeight="1">
      <c r="A186" s="126"/>
      <c r="B186" s="126"/>
      <c r="C186" s="126"/>
      <c r="D186" s="126"/>
      <c r="E186" s="126"/>
      <c r="F186" s="126"/>
      <c r="G186" s="126"/>
      <c r="H186" s="126"/>
      <c r="I186" s="126"/>
      <c r="J186" s="126"/>
      <c r="K186" s="126"/>
      <c r="L186" s="126"/>
      <c r="M186" s="126"/>
      <c r="N186" s="126"/>
      <c r="O186" s="126"/>
      <c r="P186" s="126"/>
      <c r="Q186" s="126"/>
      <c r="R186" s="126"/>
      <c r="S186" s="126"/>
      <c r="T186" s="126"/>
      <c r="U186" s="126"/>
      <c r="V186" s="126"/>
      <c r="W186" s="126"/>
      <c r="X186" s="126"/>
      <c r="Y186" s="126"/>
      <c r="Z186" s="126"/>
    </row>
    <row r="187" ht="15.75" customHeight="1">
      <c r="A187" s="126"/>
      <c r="B187" s="126"/>
      <c r="C187" s="126"/>
      <c r="D187" s="126"/>
      <c r="E187" s="126"/>
      <c r="F187" s="126"/>
      <c r="G187" s="126"/>
      <c r="H187" s="126"/>
      <c r="I187" s="126"/>
      <c r="J187" s="126"/>
      <c r="K187" s="126"/>
      <c r="L187" s="126"/>
      <c r="M187" s="126"/>
      <c r="N187" s="126"/>
      <c r="O187" s="126"/>
      <c r="P187" s="126"/>
      <c r="Q187" s="126"/>
      <c r="R187" s="126"/>
      <c r="S187" s="126"/>
      <c r="T187" s="126"/>
      <c r="U187" s="126"/>
      <c r="V187" s="126"/>
      <c r="W187" s="126"/>
      <c r="X187" s="126"/>
      <c r="Y187" s="126"/>
      <c r="Z187" s="126"/>
    </row>
    <row r="188" ht="15.75" customHeight="1">
      <c r="A188" s="126"/>
      <c r="B188" s="126"/>
      <c r="C188" s="126"/>
      <c r="D188" s="126"/>
      <c r="E188" s="126"/>
      <c r="F188" s="126"/>
      <c r="G188" s="126"/>
      <c r="H188" s="126"/>
      <c r="I188" s="126"/>
      <c r="J188" s="126"/>
      <c r="K188" s="126"/>
      <c r="L188" s="126"/>
      <c r="M188" s="126"/>
      <c r="N188" s="126"/>
      <c r="O188" s="126"/>
      <c r="P188" s="126"/>
      <c r="Q188" s="126"/>
      <c r="R188" s="126"/>
      <c r="S188" s="126"/>
      <c r="T188" s="126"/>
      <c r="U188" s="126"/>
      <c r="V188" s="126"/>
      <c r="W188" s="126"/>
      <c r="X188" s="126"/>
      <c r="Y188" s="126"/>
      <c r="Z188" s="126"/>
    </row>
    <row r="189" ht="15.75" customHeight="1">
      <c r="A189" s="126"/>
      <c r="B189" s="126"/>
      <c r="C189" s="126"/>
      <c r="D189" s="126"/>
      <c r="E189" s="126"/>
      <c r="F189" s="126"/>
      <c r="G189" s="126"/>
      <c r="H189" s="126"/>
      <c r="I189" s="126"/>
      <c r="J189" s="126"/>
      <c r="K189" s="126"/>
      <c r="L189" s="126"/>
      <c r="M189" s="126"/>
      <c r="N189" s="126"/>
      <c r="O189" s="126"/>
      <c r="P189" s="126"/>
      <c r="Q189" s="126"/>
      <c r="R189" s="126"/>
      <c r="S189" s="126"/>
      <c r="T189" s="126"/>
      <c r="U189" s="126"/>
      <c r="V189" s="126"/>
      <c r="W189" s="126"/>
      <c r="X189" s="126"/>
      <c r="Y189" s="126"/>
      <c r="Z189" s="126"/>
    </row>
    <row r="190" ht="15.75" customHeight="1">
      <c r="A190" s="126"/>
      <c r="B190" s="126"/>
      <c r="C190" s="126"/>
      <c r="D190" s="126"/>
      <c r="E190" s="126"/>
      <c r="F190" s="126"/>
      <c r="G190" s="126"/>
      <c r="H190" s="126"/>
      <c r="I190" s="126"/>
      <c r="J190" s="126"/>
      <c r="K190" s="126"/>
      <c r="L190" s="126"/>
      <c r="M190" s="126"/>
      <c r="N190" s="126"/>
      <c r="O190" s="126"/>
      <c r="P190" s="126"/>
      <c r="Q190" s="126"/>
      <c r="R190" s="126"/>
      <c r="S190" s="126"/>
      <c r="T190" s="126"/>
      <c r="U190" s="126"/>
      <c r="V190" s="126"/>
      <c r="W190" s="126"/>
      <c r="X190" s="126"/>
      <c r="Y190" s="126"/>
      <c r="Z190" s="126"/>
    </row>
    <row r="191" ht="15.75" customHeight="1">
      <c r="A191" s="126"/>
      <c r="B191" s="126"/>
      <c r="C191" s="126"/>
      <c r="D191" s="126"/>
      <c r="E191" s="126"/>
      <c r="F191" s="126"/>
      <c r="G191" s="126"/>
      <c r="H191" s="126"/>
      <c r="I191" s="126"/>
      <c r="J191" s="126"/>
      <c r="K191" s="126"/>
      <c r="L191" s="126"/>
      <c r="M191" s="126"/>
      <c r="N191" s="126"/>
      <c r="O191" s="126"/>
      <c r="P191" s="126"/>
      <c r="Q191" s="126"/>
      <c r="R191" s="126"/>
      <c r="S191" s="126"/>
      <c r="T191" s="126"/>
      <c r="U191" s="126"/>
      <c r="V191" s="126"/>
      <c r="W191" s="126"/>
      <c r="X191" s="126"/>
      <c r="Y191" s="126"/>
      <c r="Z191" s="126"/>
    </row>
    <row r="192" ht="15.75" customHeight="1">
      <c r="A192" s="126"/>
      <c r="B192" s="126"/>
      <c r="C192" s="126"/>
      <c r="D192" s="126"/>
      <c r="E192" s="126"/>
      <c r="F192" s="126"/>
      <c r="G192" s="126"/>
      <c r="H192" s="126"/>
      <c r="I192" s="126"/>
      <c r="J192" s="126"/>
      <c r="K192" s="126"/>
      <c r="L192" s="126"/>
      <c r="M192" s="126"/>
      <c r="N192" s="126"/>
      <c r="O192" s="126"/>
      <c r="P192" s="126"/>
      <c r="Q192" s="126"/>
      <c r="R192" s="126"/>
      <c r="S192" s="126"/>
      <c r="T192" s="126"/>
      <c r="U192" s="126"/>
      <c r="V192" s="126"/>
      <c r="W192" s="126"/>
      <c r="X192" s="126"/>
      <c r="Y192" s="126"/>
      <c r="Z192" s="126"/>
    </row>
    <row r="193" ht="15.75" customHeight="1">
      <c r="A193" s="126"/>
      <c r="B193" s="126"/>
      <c r="C193" s="126"/>
      <c r="D193" s="126"/>
      <c r="E193" s="126"/>
      <c r="F193" s="126"/>
      <c r="G193" s="126"/>
      <c r="H193" s="126"/>
      <c r="I193" s="126"/>
      <c r="J193" s="126"/>
      <c r="K193" s="126"/>
      <c r="L193" s="126"/>
      <c r="M193" s="126"/>
      <c r="N193" s="126"/>
      <c r="O193" s="126"/>
      <c r="P193" s="126"/>
      <c r="Q193" s="126"/>
      <c r="R193" s="126"/>
      <c r="S193" s="126"/>
      <c r="T193" s="126"/>
      <c r="U193" s="126"/>
      <c r="V193" s="126"/>
      <c r="W193" s="126"/>
      <c r="X193" s="126"/>
      <c r="Y193" s="126"/>
      <c r="Z193" s="126"/>
    </row>
    <row r="194" ht="15.75" customHeight="1">
      <c r="A194" s="126"/>
      <c r="B194" s="126"/>
      <c r="C194" s="126"/>
      <c r="D194" s="126"/>
      <c r="E194" s="126"/>
      <c r="F194" s="126"/>
      <c r="G194" s="126"/>
      <c r="H194" s="126"/>
      <c r="I194" s="126"/>
      <c r="J194" s="126"/>
      <c r="K194" s="126"/>
      <c r="L194" s="126"/>
      <c r="M194" s="126"/>
      <c r="N194" s="126"/>
      <c r="O194" s="126"/>
      <c r="P194" s="126"/>
      <c r="Q194" s="126"/>
      <c r="R194" s="126"/>
      <c r="S194" s="126"/>
      <c r="T194" s="126"/>
      <c r="U194" s="126"/>
      <c r="V194" s="126"/>
      <c r="W194" s="126"/>
      <c r="X194" s="126"/>
      <c r="Y194" s="126"/>
      <c r="Z194" s="126"/>
    </row>
    <row r="195" ht="15.75" customHeight="1">
      <c r="A195" s="126"/>
      <c r="B195" s="126"/>
      <c r="C195" s="126"/>
      <c r="D195" s="126"/>
      <c r="E195" s="126"/>
      <c r="F195" s="126"/>
      <c r="G195" s="126"/>
      <c r="H195" s="126"/>
      <c r="I195" s="126"/>
      <c r="J195" s="126"/>
      <c r="K195" s="126"/>
      <c r="L195" s="126"/>
      <c r="M195" s="126"/>
      <c r="N195" s="126"/>
      <c r="O195" s="126"/>
      <c r="P195" s="126"/>
      <c r="Q195" s="126"/>
      <c r="R195" s="126"/>
      <c r="S195" s="126"/>
      <c r="T195" s="126"/>
      <c r="U195" s="126"/>
      <c r="V195" s="126"/>
      <c r="W195" s="126"/>
      <c r="X195" s="126"/>
      <c r="Y195" s="126"/>
      <c r="Z195" s="126"/>
    </row>
    <row r="196" ht="15.75" customHeight="1">
      <c r="A196" s="126"/>
      <c r="B196" s="126"/>
      <c r="C196" s="126"/>
      <c r="D196" s="126"/>
      <c r="E196" s="126"/>
      <c r="F196" s="126"/>
      <c r="G196" s="126"/>
      <c r="H196" s="126"/>
      <c r="I196" s="126"/>
      <c r="J196" s="126"/>
      <c r="K196" s="126"/>
      <c r="L196" s="126"/>
      <c r="M196" s="126"/>
      <c r="N196" s="126"/>
      <c r="O196" s="126"/>
      <c r="P196" s="126"/>
      <c r="Q196" s="126"/>
      <c r="R196" s="126"/>
      <c r="S196" s="126"/>
      <c r="T196" s="126"/>
      <c r="U196" s="126"/>
      <c r="V196" s="126"/>
      <c r="W196" s="126"/>
      <c r="X196" s="126"/>
      <c r="Y196" s="126"/>
      <c r="Z196" s="126"/>
    </row>
    <row r="197" ht="15.75" customHeight="1">
      <c r="A197" s="126"/>
      <c r="B197" s="126"/>
      <c r="C197" s="126"/>
      <c r="D197" s="126"/>
      <c r="E197" s="126"/>
      <c r="F197" s="126"/>
      <c r="G197" s="126"/>
      <c r="H197" s="126"/>
      <c r="I197" s="126"/>
      <c r="J197" s="126"/>
      <c r="K197" s="126"/>
      <c r="L197" s="126"/>
      <c r="M197" s="126"/>
      <c r="N197" s="126"/>
      <c r="O197" s="126"/>
      <c r="P197" s="126"/>
      <c r="Q197" s="126"/>
      <c r="R197" s="126"/>
      <c r="S197" s="126"/>
      <c r="T197" s="126"/>
      <c r="U197" s="126"/>
      <c r="V197" s="126"/>
      <c r="W197" s="126"/>
      <c r="X197" s="126"/>
      <c r="Y197" s="126"/>
      <c r="Z197" s="126"/>
    </row>
    <row r="198" ht="15.75" customHeight="1">
      <c r="A198" s="126"/>
      <c r="B198" s="126"/>
      <c r="C198" s="126"/>
      <c r="D198" s="126"/>
      <c r="E198" s="126"/>
      <c r="F198" s="126"/>
      <c r="G198" s="126"/>
      <c r="H198" s="126"/>
      <c r="I198" s="126"/>
      <c r="J198" s="126"/>
      <c r="K198" s="126"/>
      <c r="L198" s="126"/>
      <c r="M198" s="126"/>
      <c r="N198" s="126"/>
      <c r="O198" s="126"/>
      <c r="P198" s="126"/>
      <c r="Q198" s="126"/>
      <c r="R198" s="126"/>
      <c r="S198" s="126"/>
      <c r="T198" s="126"/>
      <c r="U198" s="126"/>
      <c r="V198" s="126"/>
      <c r="W198" s="126"/>
      <c r="X198" s="126"/>
      <c r="Y198" s="126"/>
      <c r="Z198" s="126"/>
    </row>
    <row r="199" ht="15.75" customHeight="1">
      <c r="A199" s="126"/>
      <c r="B199" s="126"/>
      <c r="C199" s="126"/>
      <c r="D199" s="126"/>
      <c r="E199" s="126"/>
      <c r="F199" s="126"/>
      <c r="G199" s="126"/>
      <c r="H199" s="126"/>
      <c r="I199" s="126"/>
      <c r="J199" s="126"/>
      <c r="K199" s="126"/>
      <c r="L199" s="126"/>
      <c r="M199" s="126"/>
      <c r="N199" s="126"/>
      <c r="O199" s="126"/>
      <c r="P199" s="126"/>
      <c r="Q199" s="126"/>
      <c r="R199" s="126"/>
      <c r="S199" s="126"/>
      <c r="T199" s="126"/>
      <c r="U199" s="126"/>
      <c r="V199" s="126"/>
      <c r="W199" s="126"/>
      <c r="X199" s="126"/>
      <c r="Y199" s="126"/>
      <c r="Z199" s="126"/>
    </row>
    <row r="200" ht="15.75" customHeight="1">
      <c r="A200" s="126"/>
      <c r="B200" s="126"/>
      <c r="C200" s="126"/>
      <c r="D200" s="126"/>
      <c r="E200" s="126"/>
      <c r="F200" s="126"/>
      <c r="G200" s="126"/>
      <c r="H200" s="126"/>
      <c r="I200" s="126"/>
      <c r="J200" s="126"/>
      <c r="K200" s="126"/>
      <c r="L200" s="126"/>
      <c r="M200" s="126"/>
      <c r="N200" s="126"/>
      <c r="O200" s="126"/>
      <c r="P200" s="126"/>
      <c r="Q200" s="126"/>
      <c r="R200" s="126"/>
      <c r="S200" s="126"/>
      <c r="T200" s="126"/>
      <c r="U200" s="126"/>
      <c r="V200" s="126"/>
      <c r="W200" s="126"/>
      <c r="X200" s="126"/>
      <c r="Y200" s="126"/>
      <c r="Z200" s="126"/>
    </row>
    <row r="201" ht="15.75" customHeight="1">
      <c r="A201" s="126"/>
      <c r="B201" s="126"/>
      <c r="C201" s="126"/>
      <c r="D201" s="126"/>
      <c r="E201" s="126"/>
      <c r="F201" s="126"/>
      <c r="G201" s="126"/>
      <c r="H201" s="126"/>
      <c r="I201" s="126"/>
      <c r="J201" s="126"/>
      <c r="K201" s="126"/>
      <c r="L201" s="126"/>
      <c r="M201" s="126"/>
      <c r="N201" s="126"/>
      <c r="O201" s="126"/>
      <c r="P201" s="126"/>
      <c r="Q201" s="126"/>
      <c r="R201" s="126"/>
      <c r="S201" s="126"/>
      <c r="T201" s="126"/>
      <c r="U201" s="126"/>
      <c r="V201" s="126"/>
      <c r="W201" s="126"/>
      <c r="X201" s="126"/>
      <c r="Y201" s="126"/>
      <c r="Z201" s="126"/>
    </row>
    <row r="202" ht="15.75" customHeight="1">
      <c r="A202" s="126"/>
      <c r="B202" s="126"/>
      <c r="C202" s="126"/>
      <c r="D202" s="126"/>
      <c r="E202" s="126"/>
      <c r="F202" s="126"/>
      <c r="G202" s="126"/>
      <c r="H202" s="126"/>
      <c r="I202" s="126"/>
      <c r="J202" s="126"/>
      <c r="K202" s="126"/>
      <c r="L202" s="126"/>
      <c r="M202" s="126"/>
      <c r="N202" s="126"/>
      <c r="O202" s="126"/>
      <c r="P202" s="126"/>
      <c r="Q202" s="126"/>
      <c r="R202" s="126"/>
      <c r="S202" s="126"/>
      <c r="T202" s="126"/>
      <c r="U202" s="126"/>
      <c r="V202" s="126"/>
      <c r="W202" s="126"/>
      <c r="X202" s="126"/>
      <c r="Y202" s="126"/>
      <c r="Z202" s="126"/>
    </row>
    <row r="203" ht="15.75" customHeight="1">
      <c r="A203" s="126"/>
      <c r="B203" s="126"/>
      <c r="C203" s="126"/>
      <c r="D203" s="126"/>
      <c r="E203" s="126"/>
      <c r="F203" s="126"/>
      <c r="G203" s="126"/>
      <c r="H203" s="126"/>
      <c r="I203" s="126"/>
      <c r="J203" s="126"/>
      <c r="K203" s="126"/>
      <c r="L203" s="126"/>
      <c r="M203" s="126"/>
      <c r="N203" s="126"/>
      <c r="O203" s="126"/>
      <c r="P203" s="126"/>
      <c r="Q203" s="126"/>
      <c r="R203" s="126"/>
      <c r="S203" s="126"/>
      <c r="T203" s="126"/>
      <c r="U203" s="126"/>
      <c r="V203" s="126"/>
      <c r="W203" s="126"/>
      <c r="X203" s="126"/>
      <c r="Y203" s="126"/>
      <c r="Z203" s="126"/>
    </row>
    <row r="204" ht="15.75" customHeight="1">
      <c r="A204" s="126"/>
      <c r="B204" s="126"/>
      <c r="C204" s="126"/>
      <c r="D204" s="126"/>
      <c r="E204" s="126"/>
      <c r="F204" s="126"/>
      <c r="G204" s="126"/>
      <c r="H204" s="126"/>
      <c r="I204" s="126"/>
      <c r="J204" s="126"/>
      <c r="K204" s="126"/>
      <c r="L204" s="126"/>
      <c r="M204" s="126"/>
      <c r="N204" s="126"/>
      <c r="O204" s="126"/>
      <c r="P204" s="126"/>
      <c r="Q204" s="126"/>
      <c r="R204" s="126"/>
      <c r="S204" s="126"/>
      <c r="T204" s="126"/>
      <c r="U204" s="126"/>
      <c r="V204" s="126"/>
      <c r="W204" s="126"/>
      <c r="X204" s="126"/>
      <c r="Y204" s="126"/>
      <c r="Z204" s="126"/>
    </row>
    <row r="205" ht="15.75" customHeight="1">
      <c r="A205" s="126"/>
      <c r="B205" s="126"/>
      <c r="C205" s="126"/>
      <c r="D205" s="126"/>
      <c r="E205" s="126"/>
      <c r="F205" s="126"/>
      <c r="G205" s="126"/>
      <c r="H205" s="126"/>
      <c r="I205" s="126"/>
      <c r="J205" s="126"/>
      <c r="K205" s="126"/>
      <c r="L205" s="126"/>
      <c r="M205" s="126"/>
      <c r="N205" s="126"/>
      <c r="O205" s="126"/>
      <c r="P205" s="126"/>
      <c r="Q205" s="126"/>
      <c r="R205" s="126"/>
      <c r="S205" s="126"/>
      <c r="T205" s="126"/>
      <c r="U205" s="126"/>
      <c r="V205" s="126"/>
      <c r="W205" s="126"/>
      <c r="X205" s="126"/>
      <c r="Y205" s="126"/>
      <c r="Z205" s="126"/>
    </row>
    <row r="206" ht="15.75" customHeight="1">
      <c r="A206" s="126"/>
      <c r="B206" s="126"/>
      <c r="C206" s="126"/>
      <c r="D206" s="126"/>
      <c r="E206" s="126"/>
      <c r="F206" s="126"/>
      <c r="G206" s="126"/>
      <c r="H206" s="126"/>
      <c r="I206" s="126"/>
      <c r="J206" s="126"/>
      <c r="K206" s="126"/>
      <c r="L206" s="126"/>
      <c r="M206" s="126"/>
      <c r="N206" s="126"/>
      <c r="O206" s="126"/>
      <c r="P206" s="126"/>
      <c r="Q206" s="126"/>
      <c r="R206" s="126"/>
      <c r="S206" s="126"/>
      <c r="T206" s="126"/>
      <c r="U206" s="126"/>
      <c r="V206" s="126"/>
      <c r="W206" s="126"/>
      <c r="X206" s="126"/>
      <c r="Y206" s="126"/>
      <c r="Z206" s="126"/>
    </row>
    <row r="207" ht="15.75" customHeight="1">
      <c r="A207" s="126"/>
      <c r="B207" s="126"/>
      <c r="C207" s="126"/>
      <c r="D207" s="126"/>
      <c r="E207" s="126"/>
      <c r="F207" s="126"/>
      <c r="G207" s="126"/>
      <c r="H207" s="126"/>
      <c r="I207" s="126"/>
      <c r="J207" s="126"/>
      <c r="K207" s="126"/>
      <c r="L207" s="126"/>
      <c r="M207" s="126"/>
      <c r="N207" s="126"/>
      <c r="O207" s="126"/>
      <c r="P207" s="126"/>
      <c r="Q207" s="126"/>
      <c r="R207" s="126"/>
      <c r="S207" s="126"/>
      <c r="T207" s="126"/>
      <c r="U207" s="126"/>
      <c r="V207" s="126"/>
      <c r="W207" s="126"/>
      <c r="X207" s="126"/>
      <c r="Y207" s="126"/>
      <c r="Z207" s="126"/>
    </row>
    <row r="208" ht="15.75" customHeight="1">
      <c r="A208" s="126"/>
      <c r="B208" s="126"/>
      <c r="C208" s="126"/>
      <c r="D208" s="126"/>
      <c r="E208" s="126"/>
      <c r="F208" s="126"/>
      <c r="G208" s="126"/>
      <c r="H208" s="126"/>
      <c r="I208" s="126"/>
      <c r="J208" s="126"/>
      <c r="K208" s="126"/>
      <c r="L208" s="126"/>
      <c r="M208" s="126"/>
      <c r="N208" s="126"/>
      <c r="O208" s="126"/>
      <c r="P208" s="126"/>
      <c r="Q208" s="126"/>
      <c r="R208" s="126"/>
      <c r="S208" s="126"/>
      <c r="T208" s="126"/>
      <c r="U208" s="126"/>
      <c r="V208" s="126"/>
      <c r="W208" s="126"/>
      <c r="X208" s="126"/>
      <c r="Y208" s="126"/>
      <c r="Z208" s="126"/>
    </row>
    <row r="209" ht="15.75" customHeight="1">
      <c r="A209" s="126"/>
      <c r="B209" s="126"/>
      <c r="C209" s="126"/>
      <c r="D209" s="126"/>
      <c r="E209" s="126"/>
      <c r="F209" s="126"/>
      <c r="G209" s="126"/>
      <c r="H209" s="126"/>
      <c r="I209" s="126"/>
      <c r="J209" s="126"/>
      <c r="K209" s="126"/>
      <c r="L209" s="126"/>
      <c r="M209" s="126"/>
      <c r="N209" s="126"/>
      <c r="O209" s="126"/>
      <c r="P209" s="126"/>
      <c r="Q209" s="126"/>
      <c r="R209" s="126"/>
      <c r="S209" s="126"/>
      <c r="T209" s="126"/>
      <c r="U209" s="126"/>
      <c r="V209" s="126"/>
      <c r="W209" s="126"/>
      <c r="X209" s="126"/>
      <c r="Y209" s="126"/>
      <c r="Z209" s="126"/>
    </row>
    <row r="210" ht="15.75" customHeight="1">
      <c r="A210" s="126"/>
      <c r="B210" s="126"/>
      <c r="C210" s="126"/>
      <c r="D210" s="126"/>
      <c r="E210" s="126"/>
      <c r="F210" s="126"/>
      <c r="G210" s="126"/>
      <c r="H210" s="126"/>
      <c r="I210" s="126"/>
      <c r="J210" s="126"/>
      <c r="K210" s="126"/>
      <c r="L210" s="126"/>
      <c r="M210" s="126"/>
      <c r="N210" s="126"/>
      <c r="O210" s="126"/>
      <c r="P210" s="126"/>
      <c r="Q210" s="126"/>
      <c r="R210" s="126"/>
      <c r="S210" s="126"/>
      <c r="T210" s="126"/>
      <c r="U210" s="126"/>
      <c r="V210" s="126"/>
      <c r="W210" s="126"/>
      <c r="X210" s="126"/>
      <c r="Y210" s="126"/>
      <c r="Z210" s="126"/>
    </row>
    <row r="211" ht="15.75" customHeight="1">
      <c r="A211" s="126"/>
      <c r="B211" s="126"/>
      <c r="C211" s="126"/>
      <c r="D211" s="126"/>
      <c r="E211" s="126"/>
      <c r="F211" s="126"/>
      <c r="G211" s="126"/>
      <c r="H211" s="126"/>
      <c r="I211" s="126"/>
      <c r="J211" s="126"/>
      <c r="K211" s="126"/>
      <c r="L211" s="126"/>
      <c r="M211" s="126"/>
      <c r="N211" s="126"/>
      <c r="O211" s="126"/>
      <c r="P211" s="126"/>
      <c r="Q211" s="126"/>
      <c r="R211" s="126"/>
      <c r="S211" s="126"/>
      <c r="T211" s="126"/>
      <c r="U211" s="126"/>
      <c r="V211" s="126"/>
      <c r="W211" s="126"/>
      <c r="X211" s="126"/>
      <c r="Y211" s="126"/>
      <c r="Z211" s="126"/>
    </row>
    <row r="212" ht="15.75" customHeight="1">
      <c r="A212" s="126"/>
      <c r="B212" s="126"/>
      <c r="C212" s="126"/>
      <c r="D212" s="126"/>
      <c r="E212" s="126"/>
      <c r="F212" s="126"/>
      <c r="G212" s="126"/>
      <c r="H212" s="126"/>
      <c r="I212" s="126"/>
      <c r="J212" s="126"/>
      <c r="K212" s="126"/>
      <c r="L212" s="126"/>
      <c r="M212" s="126"/>
      <c r="N212" s="126"/>
      <c r="O212" s="126"/>
      <c r="P212" s="126"/>
      <c r="Q212" s="126"/>
      <c r="R212" s="126"/>
      <c r="S212" s="126"/>
      <c r="T212" s="126"/>
      <c r="U212" s="126"/>
      <c r="V212" s="126"/>
      <c r="W212" s="126"/>
      <c r="X212" s="126"/>
      <c r="Y212" s="126"/>
      <c r="Z212" s="126"/>
    </row>
    <row r="213" ht="15.75" customHeight="1">
      <c r="A213" s="126"/>
      <c r="B213" s="126"/>
      <c r="C213" s="126"/>
      <c r="D213" s="126"/>
      <c r="E213" s="126"/>
      <c r="F213" s="126"/>
      <c r="G213" s="126"/>
      <c r="H213" s="126"/>
      <c r="I213" s="126"/>
      <c r="J213" s="126"/>
      <c r="K213" s="126"/>
      <c r="L213" s="126"/>
      <c r="M213" s="126"/>
      <c r="N213" s="126"/>
      <c r="O213" s="126"/>
      <c r="P213" s="126"/>
      <c r="Q213" s="126"/>
      <c r="R213" s="126"/>
      <c r="S213" s="126"/>
      <c r="T213" s="126"/>
      <c r="U213" s="126"/>
      <c r="V213" s="126"/>
      <c r="W213" s="126"/>
      <c r="X213" s="126"/>
      <c r="Y213" s="126"/>
      <c r="Z213" s="126"/>
    </row>
    <row r="214" ht="15.75" customHeight="1">
      <c r="A214" s="126"/>
      <c r="B214" s="126"/>
      <c r="C214" s="126"/>
      <c r="D214" s="126"/>
      <c r="E214" s="126"/>
      <c r="F214" s="126"/>
      <c r="G214" s="126"/>
      <c r="H214" s="126"/>
      <c r="I214" s="126"/>
      <c r="J214" s="126"/>
      <c r="K214" s="126"/>
      <c r="L214" s="126"/>
      <c r="M214" s="126"/>
      <c r="N214" s="126"/>
      <c r="O214" s="126"/>
      <c r="P214" s="126"/>
      <c r="Q214" s="126"/>
      <c r="R214" s="126"/>
      <c r="S214" s="126"/>
      <c r="T214" s="126"/>
      <c r="U214" s="126"/>
      <c r="V214" s="126"/>
      <c r="W214" s="126"/>
      <c r="X214" s="126"/>
      <c r="Y214" s="126"/>
      <c r="Z214" s="126"/>
    </row>
    <row r="215" ht="15.75" customHeight="1">
      <c r="A215" s="126"/>
      <c r="B215" s="126"/>
      <c r="C215" s="126"/>
      <c r="D215" s="126"/>
      <c r="E215" s="126"/>
      <c r="F215" s="126"/>
      <c r="G215" s="126"/>
      <c r="H215" s="126"/>
      <c r="I215" s="126"/>
      <c r="J215" s="126"/>
      <c r="K215" s="126"/>
      <c r="L215" s="126"/>
      <c r="M215" s="126"/>
      <c r="N215" s="126"/>
      <c r="O215" s="126"/>
      <c r="P215" s="126"/>
      <c r="Q215" s="126"/>
      <c r="R215" s="126"/>
      <c r="S215" s="126"/>
      <c r="T215" s="126"/>
      <c r="U215" s="126"/>
      <c r="V215" s="126"/>
      <c r="W215" s="126"/>
      <c r="X215" s="126"/>
      <c r="Y215" s="126"/>
      <c r="Z215" s="126"/>
    </row>
    <row r="216" ht="15.75" customHeight="1">
      <c r="A216" s="126"/>
      <c r="B216" s="126"/>
      <c r="C216" s="126"/>
      <c r="D216" s="126"/>
      <c r="E216" s="126"/>
      <c r="F216" s="126"/>
      <c r="G216" s="126"/>
      <c r="H216" s="126"/>
      <c r="I216" s="126"/>
      <c r="J216" s="126"/>
      <c r="K216" s="126"/>
      <c r="L216" s="126"/>
      <c r="M216" s="126"/>
      <c r="N216" s="126"/>
      <c r="O216" s="126"/>
      <c r="P216" s="126"/>
      <c r="Q216" s="126"/>
      <c r="R216" s="126"/>
      <c r="S216" s="126"/>
      <c r="T216" s="126"/>
      <c r="U216" s="126"/>
      <c r="V216" s="126"/>
      <c r="W216" s="126"/>
      <c r="X216" s="126"/>
      <c r="Y216" s="126"/>
      <c r="Z216" s="126"/>
    </row>
    <row r="217" ht="15.75" customHeight="1">
      <c r="A217" s="126"/>
      <c r="B217" s="126"/>
      <c r="C217" s="126"/>
      <c r="D217" s="126"/>
      <c r="E217" s="126"/>
      <c r="F217" s="126"/>
      <c r="G217" s="126"/>
      <c r="H217" s="126"/>
      <c r="I217" s="126"/>
      <c r="J217" s="126"/>
      <c r="K217" s="126"/>
      <c r="L217" s="126"/>
      <c r="M217" s="126"/>
      <c r="N217" s="126"/>
      <c r="O217" s="126"/>
      <c r="P217" s="126"/>
      <c r="Q217" s="126"/>
      <c r="R217" s="126"/>
      <c r="S217" s="126"/>
      <c r="T217" s="126"/>
      <c r="U217" s="126"/>
      <c r="V217" s="126"/>
      <c r="W217" s="126"/>
      <c r="X217" s="126"/>
      <c r="Y217" s="126"/>
      <c r="Z217" s="126"/>
    </row>
    <row r="218" ht="15.75" customHeight="1">
      <c r="A218" s="126"/>
      <c r="B218" s="126"/>
      <c r="C218" s="126"/>
      <c r="D218" s="126"/>
      <c r="E218" s="126"/>
      <c r="F218" s="126"/>
      <c r="G218" s="126"/>
      <c r="H218" s="126"/>
      <c r="I218" s="126"/>
      <c r="J218" s="126"/>
      <c r="K218" s="126"/>
      <c r="L218" s="126"/>
      <c r="M218" s="126"/>
      <c r="N218" s="126"/>
      <c r="O218" s="126"/>
      <c r="P218" s="126"/>
      <c r="Q218" s="126"/>
      <c r="R218" s="126"/>
      <c r="S218" s="126"/>
      <c r="T218" s="126"/>
      <c r="U218" s="126"/>
      <c r="V218" s="126"/>
      <c r="W218" s="126"/>
      <c r="X218" s="126"/>
      <c r="Y218" s="126"/>
      <c r="Z218" s="126"/>
    </row>
    <row r="219" ht="15.75" customHeight="1">
      <c r="A219" s="126"/>
      <c r="B219" s="126"/>
      <c r="C219" s="126"/>
      <c r="D219" s="126"/>
      <c r="E219" s="126"/>
      <c r="F219" s="126"/>
      <c r="G219" s="126"/>
      <c r="H219" s="126"/>
      <c r="I219" s="126"/>
      <c r="J219" s="126"/>
      <c r="K219" s="126"/>
      <c r="L219" s="126"/>
      <c r="M219" s="126"/>
      <c r="N219" s="126"/>
      <c r="O219" s="126"/>
      <c r="P219" s="126"/>
      <c r="Q219" s="126"/>
      <c r="R219" s="126"/>
      <c r="S219" s="126"/>
      <c r="T219" s="126"/>
      <c r="U219" s="126"/>
      <c r="V219" s="126"/>
      <c r="W219" s="126"/>
      <c r="X219" s="126"/>
      <c r="Y219" s="126"/>
      <c r="Z219" s="126"/>
    </row>
    <row r="220" ht="15.75" customHeight="1">
      <c r="A220" s="126"/>
      <c r="B220" s="126"/>
      <c r="C220" s="126"/>
      <c r="D220" s="126"/>
      <c r="E220" s="126"/>
      <c r="F220" s="126"/>
      <c r="G220" s="126"/>
      <c r="H220" s="126"/>
      <c r="I220" s="126"/>
      <c r="J220" s="126"/>
      <c r="K220" s="126"/>
      <c r="L220" s="126"/>
      <c r="M220" s="126"/>
      <c r="N220" s="126"/>
      <c r="O220" s="126"/>
      <c r="P220" s="126"/>
      <c r="Q220" s="126"/>
      <c r="R220" s="126"/>
      <c r="S220" s="126"/>
      <c r="T220" s="126"/>
      <c r="U220" s="126"/>
      <c r="V220" s="126"/>
      <c r="W220" s="126"/>
      <c r="X220" s="126"/>
      <c r="Y220" s="126"/>
      <c r="Z220" s="126"/>
    </row>
    <row r="221" ht="15.75" customHeight="1">
      <c r="A221" s="126"/>
      <c r="B221" s="126"/>
      <c r="C221" s="126"/>
      <c r="D221" s="126"/>
      <c r="E221" s="126"/>
      <c r="F221" s="126"/>
      <c r="G221" s="126"/>
      <c r="H221" s="126"/>
      <c r="I221" s="126"/>
      <c r="J221" s="126"/>
      <c r="K221" s="126"/>
      <c r="L221" s="126"/>
      <c r="M221" s="126"/>
      <c r="N221" s="126"/>
      <c r="O221" s="126"/>
      <c r="P221" s="126"/>
      <c r="Q221" s="126"/>
      <c r="R221" s="126"/>
      <c r="S221" s="126"/>
      <c r="T221" s="126"/>
      <c r="U221" s="126"/>
      <c r="V221" s="126"/>
      <c r="W221" s="126"/>
      <c r="X221" s="126"/>
      <c r="Y221" s="126"/>
      <c r="Z221" s="126"/>
    </row>
    <row r="222" ht="15.75" customHeight="1">
      <c r="A222" s="126"/>
      <c r="B222" s="126"/>
      <c r="C222" s="126"/>
      <c r="D222" s="126"/>
      <c r="E222" s="126"/>
      <c r="F222" s="126"/>
      <c r="G222" s="126"/>
      <c r="H222" s="126"/>
      <c r="I222" s="126"/>
      <c r="J222" s="126"/>
      <c r="K222" s="126"/>
      <c r="L222" s="126"/>
      <c r="M222" s="126"/>
      <c r="N222" s="126"/>
      <c r="O222" s="126"/>
      <c r="P222" s="126"/>
      <c r="Q222" s="126"/>
      <c r="R222" s="126"/>
      <c r="S222" s="126"/>
      <c r="T222" s="126"/>
      <c r="U222" s="126"/>
      <c r="V222" s="126"/>
      <c r="W222" s="126"/>
      <c r="X222" s="126"/>
      <c r="Y222" s="126"/>
      <c r="Z222" s="126"/>
    </row>
    <row r="223" ht="15.75" customHeight="1">
      <c r="A223" s="126"/>
      <c r="B223" s="126"/>
      <c r="C223" s="126"/>
      <c r="D223" s="126"/>
      <c r="E223" s="126"/>
      <c r="F223" s="126"/>
      <c r="G223" s="126"/>
      <c r="H223" s="126"/>
      <c r="I223" s="126"/>
      <c r="J223" s="126"/>
      <c r="K223" s="126"/>
      <c r="L223" s="126"/>
      <c r="M223" s="126"/>
      <c r="N223" s="126"/>
      <c r="O223" s="126"/>
      <c r="P223" s="126"/>
      <c r="Q223" s="126"/>
      <c r="R223" s="126"/>
      <c r="S223" s="126"/>
      <c r="T223" s="126"/>
      <c r="U223" s="126"/>
      <c r="V223" s="126"/>
      <c r="W223" s="126"/>
      <c r="X223" s="126"/>
      <c r="Y223" s="126"/>
      <c r="Z223" s="126"/>
    </row>
    <row r="224" ht="15.75" customHeight="1">
      <c r="A224" s="126"/>
      <c r="B224" s="126"/>
      <c r="C224" s="126"/>
      <c r="D224" s="126"/>
      <c r="E224" s="126"/>
      <c r="F224" s="126"/>
      <c r="G224" s="126"/>
      <c r="H224" s="126"/>
      <c r="I224" s="126"/>
      <c r="J224" s="126"/>
      <c r="K224" s="126"/>
      <c r="L224" s="126"/>
      <c r="M224" s="126"/>
      <c r="N224" s="126"/>
      <c r="O224" s="126"/>
      <c r="P224" s="126"/>
      <c r="Q224" s="126"/>
      <c r="R224" s="126"/>
      <c r="S224" s="126"/>
      <c r="T224" s="126"/>
      <c r="U224" s="126"/>
      <c r="V224" s="126"/>
      <c r="W224" s="126"/>
      <c r="X224" s="126"/>
      <c r="Y224" s="126"/>
      <c r="Z224" s="126"/>
    </row>
    <row r="225" ht="15.75" customHeight="1">
      <c r="A225" s="126"/>
      <c r="B225" s="126"/>
      <c r="C225" s="126"/>
      <c r="D225" s="126"/>
      <c r="E225" s="126"/>
      <c r="F225" s="126"/>
      <c r="G225" s="126"/>
      <c r="H225" s="126"/>
      <c r="I225" s="126"/>
      <c r="J225" s="126"/>
      <c r="K225" s="126"/>
      <c r="L225" s="126"/>
      <c r="M225" s="126"/>
      <c r="N225" s="126"/>
      <c r="O225" s="126"/>
      <c r="P225" s="126"/>
      <c r="Q225" s="126"/>
      <c r="R225" s="126"/>
      <c r="S225" s="126"/>
      <c r="T225" s="126"/>
      <c r="U225" s="126"/>
      <c r="V225" s="126"/>
      <c r="W225" s="126"/>
      <c r="X225" s="126"/>
      <c r="Y225" s="126"/>
      <c r="Z225" s="126"/>
    </row>
    <row r="226" ht="15.75" customHeight="1">
      <c r="A226" s="126"/>
      <c r="B226" s="126"/>
      <c r="C226" s="126"/>
      <c r="D226" s="126"/>
      <c r="E226" s="126"/>
      <c r="F226" s="126"/>
      <c r="G226" s="126"/>
      <c r="H226" s="126"/>
      <c r="I226" s="126"/>
      <c r="J226" s="126"/>
      <c r="K226" s="126"/>
      <c r="L226" s="126"/>
      <c r="M226" s="126"/>
      <c r="N226" s="126"/>
      <c r="O226" s="126"/>
      <c r="P226" s="126"/>
      <c r="Q226" s="126"/>
      <c r="R226" s="126"/>
      <c r="S226" s="126"/>
      <c r="T226" s="126"/>
      <c r="U226" s="126"/>
      <c r="V226" s="126"/>
      <c r="W226" s="126"/>
      <c r="X226" s="126"/>
      <c r="Y226" s="126"/>
      <c r="Z226" s="126"/>
    </row>
    <row r="227" ht="15.75" customHeight="1">
      <c r="A227" s="126"/>
      <c r="B227" s="126"/>
      <c r="C227" s="126"/>
      <c r="D227" s="126"/>
      <c r="E227" s="126"/>
      <c r="F227" s="126"/>
      <c r="G227" s="126"/>
      <c r="H227" s="126"/>
      <c r="I227" s="126"/>
      <c r="J227" s="126"/>
      <c r="K227" s="126"/>
      <c r="L227" s="126"/>
      <c r="M227" s="126"/>
      <c r="N227" s="126"/>
      <c r="O227" s="126"/>
      <c r="P227" s="126"/>
      <c r="Q227" s="126"/>
      <c r="R227" s="126"/>
      <c r="S227" s="126"/>
      <c r="T227" s="126"/>
      <c r="U227" s="126"/>
      <c r="V227" s="126"/>
      <c r="W227" s="126"/>
      <c r="X227" s="126"/>
      <c r="Y227" s="126"/>
      <c r="Z227" s="126"/>
    </row>
    <row r="228" ht="15.75" customHeight="1">
      <c r="A228" s="126"/>
      <c r="B228" s="126"/>
      <c r="C228" s="126"/>
      <c r="D228" s="126"/>
      <c r="E228" s="126"/>
      <c r="F228" s="126"/>
      <c r="G228" s="126"/>
      <c r="H228" s="126"/>
      <c r="I228" s="126"/>
      <c r="J228" s="126"/>
      <c r="K228" s="126"/>
      <c r="L228" s="126"/>
      <c r="M228" s="126"/>
      <c r="N228" s="126"/>
      <c r="O228" s="126"/>
      <c r="P228" s="126"/>
      <c r="Q228" s="126"/>
      <c r="R228" s="126"/>
      <c r="S228" s="126"/>
      <c r="T228" s="126"/>
      <c r="U228" s="126"/>
      <c r="V228" s="126"/>
      <c r="W228" s="126"/>
      <c r="X228" s="126"/>
      <c r="Y228" s="126"/>
      <c r="Z228" s="126"/>
    </row>
    <row r="229" ht="15.75" customHeight="1">
      <c r="A229" s="126"/>
      <c r="B229" s="126"/>
      <c r="C229" s="126"/>
      <c r="D229" s="126"/>
      <c r="E229" s="126"/>
      <c r="F229" s="126"/>
      <c r="G229" s="126"/>
      <c r="H229" s="126"/>
      <c r="I229" s="126"/>
      <c r="J229" s="126"/>
      <c r="K229" s="126"/>
      <c r="L229" s="126"/>
      <c r="M229" s="126"/>
      <c r="N229" s="126"/>
      <c r="O229" s="126"/>
      <c r="P229" s="126"/>
      <c r="Q229" s="126"/>
      <c r="R229" s="126"/>
      <c r="S229" s="126"/>
      <c r="T229" s="126"/>
      <c r="U229" s="126"/>
      <c r="V229" s="126"/>
      <c r="W229" s="126"/>
      <c r="X229" s="126"/>
      <c r="Y229" s="126"/>
      <c r="Z229" s="126"/>
    </row>
    <row r="230" ht="15.75" customHeight="1">
      <c r="A230" s="126"/>
      <c r="B230" s="126"/>
      <c r="C230" s="126"/>
      <c r="D230" s="126"/>
      <c r="E230" s="126"/>
      <c r="F230" s="126"/>
      <c r="G230" s="126"/>
      <c r="H230" s="126"/>
      <c r="I230" s="126"/>
      <c r="J230" s="126"/>
      <c r="K230" s="126"/>
      <c r="L230" s="126"/>
      <c r="M230" s="126"/>
      <c r="N230" s="126"/>
      <c r="O230" s="126"/>
      <c r="P230" s="126"/>
      <c r="Q230" s="126"/>
      <c r="R230" s="126"/>
      <c r="S230" s="126"/>
      <c r="T230" s="126"/>
      <c r="U230" s="126"/>
      <c r="V230" s="126"/>
      <c r="W230" s="126"/>
      <c r="X230" s="126"/>
      <c r="Y230" s="126"/>
      <c r="Z230" s="126"/>
    </row>
    <row r="231" ht="15.75" customHeight="1">
      <c r="A231" s="126"/>
      <c r="B231" s="126"/>
      <c r="C231" s="126"/>
      <c r="D231" s="126"/>
      <c r="E231" s="126"/>
      <c r="F231" s="126"/>
      <c r="G231" s="126"/>
      <c r="H231" s="126"/>
      <c r="I231" s="126"/>
      <c r="J231" s="126"/>
      <c r="K231" s="126"/>
      <c r="L231" s="126"/>
      <c r="M231" s="126"/>
      <c r="N231" s="126"/>
      <c r="O231" s="126"/>
      <c r="P231" s="126"/>
      <c r="Q231" s="126"/>
      <c r="R231" s="126"/>
      <c r="S231" s="126"/>
      <c r="T231" s="126"/>
      <c r="U231" s="126"/>
      <c r="V231" s="126"/>
      <c r="W231" s="126"/>
      <c r="X231" s="126"/>
      <c r="Y231" s="126"/>
      <c r="Z231" s="126"/>
    </row>
    <row r="232" ht="15.75" customHeight="1">
      <c r="A232" s="126"/>
      <c r="B232" s="126"/>
      <c r="C232" s="126"/>
      <c r="D232" s="126"/>
      <c r="E232" s="126"/>
      <c r="F232" s="126"/>
      <c r="G232" s="126"/>
      <c r="H232" s="126"/>
      <c r="I232" s="126"/>
      <c r="J232" s="126"/>
      <c r="K232" s="126"/>
      <c r="L232" s="126"/>
      <c r="M232" s="126"/>
      <c r="N232" s="126"/>
      <c r="O232" s="126"/>
      <c r="P232" s="126"/>
      <c r="Q232" s="126"/>
      <c r="R232" s="126"/>
      <c r="S232" s="126"/>
      <c r="T232" s="126"/>
      <c r="U232" s="126"/>
      <c r="V232" s="126"/>
      <c r="W232" s="126"/>
      <c r="X232" s="126"/>
      <c r="Y232" s="126"/>
      <c r="Z232" s="126"/>
    </row>
    <row r="233" ht="15.75" customHeight="1">
      <c r="A233" s="126"/>
      <c r="B233" s="126"/>
      <c r="C233" s="126"/>
      <c r="D233" s="126"/>
      <c r="E233" s="126"/>
      <c r="F233" s="126"/>
      <c r="G233" s="126"/>
      <c r="H233" s="126"/>
      <c r="I233" s="126"/>
      <c r="J233" s="126"/>
      <c r="K233" s="126"/>
      <c r="L233" s="126"/>
      <c r="M233" s="126"/>
      <c r="N233" s="126"/>
      <c r="O233" s="126"/>
      <c r="P233" s="126"/>
      <c r="Q233" s="126"/>
      <c r="R233" s="126"/>
      <c r="S233" s="126"/>
      <c r="T233" s="126"/>
      <c r="U233" s="126"/>
      <c r="V233" s="126"/>
      <c r="W233" s="126"/>
      <c r="X233" s="126"/>
      <c r="Y233" s="126"/>
      <c r="Z233" s="126"/>
    </row>
    <row r="234" ht="15.75" customHeight="1">
      <c r="A234" s="126"/>
      <c r="B234" s="126"/>
      <c r="C234" s="126"/>
      <c r="D234" s="126"/>
      <c r="E234" s="126"/>
      <c r="F234" s="126"/>
      <c r="G234" s="126"/>
      <c r="H234" s="126"/>
      <c r="I234" s="126"/>
      <c r="J234" s="126"/>
      <c r="K234" s="126"/>
      <c r="L234" s="126"/>
      <c r="M234" s="126"/>
      <c r="N234" s="126"/>
      <c r="O234" s="126"/>
      <c r="P234" s="126"/>
      <c r="Q234" s="126"/>
      <c r="R234" s="126"/>
      <c r="S234" s="126"/>
      <c r="T234" s="126"/>
      <c r="U234" s="126"/>
      <c r="V234" s="126"/>
      <c r="W234" s="126"/>
      <c r="X234" s="126"/>
      <c r="Y234" s="126"/>
      <c r="Z234" s="126"/>
    </row>
    <row r="235" ht="15.75" customHeight="1">
      <c r="A235" s="126"/>
      <c r="B235" s="126"/>
      <c r="C235" s="126"/>
      <c r="D235" s="126"/>
      <c r="E235" s="126"/>
      <c r="F235" s="126"/>
      <c r="G235" s="126"/>
      <c r="H235" s="126"/>
      <c r="I235" s="126"/>
      <c r="J235" s="126"/>
      <c r="K235" s="126"/>
      <c r="L235" s="126"/>
      <c r="M235" s="126"/>
      <c r="N235" s="126"/>
      <c r="O235" s="126"/>
      <c r="P235" s="126"/>
      <c r="Q235" s="126"/>
      <c r="R235" s="126"/>
      <c r="S235" s="126"/>
      <c r="T235" s="126"/>
      <c r="U235" s="126"/>
      <c r="V235" s="126"/>
      <c r="W235" s="126"/>
      <c r="X235" s="126"/>
      <c r="Y235" s="126"/>
      <c r="Z235" s="126"/>
    </row>
    <row r="236" ht="15.75" customHeight="1">
      <c r="A236" s="126"/>
      <c r="B236" s="126"/>
      <c r="C236" s="126"/>
      <c r="D236" s="126"/>
      <c r="E236" s="126"/>
      <c r="F236" s="126"/>
      <c r="G236" s="126"/>
      <c r="H236" s="126"/>
      <c r="I236" s="126"/>
      <c r="J236" s="126"/>
      <c r="K236" s="126"/>
      <c r="L236" s="126"/>
      <c r="M236" s="126"/>
      <c r="N236" s="126"/>
      <c r="O236" s="126"/>
      <c r="P236" s="126"/>
      <c r="Q236" s="126"/>
      <c r="R236" s="126"/>
      <c r="S236" s="126"/>
      <c r="T236" s="126"/>
      <c r="U236" s="126"/>
      <c r="V236" s="126"/>
      <c r="W236" s="126"/>
      <c r="X236" s="126"/>
      <c r="Y236" s="126"/>
      <c r="Z236" s="126"/>
    </row>
    <row r="237" ht="15.75" customHeight="1">
      <c r="A237" s="126"/>
      <c r="B237" s="126"/>
      <c r="C237" s="126"/>
      <c r="D237" s="126"/>
      <c r="E237" s="126"/>
      <c r="F237" s="126"/>
      <c r="G237" s="126"/>
      <c r="H237" s="126"/>
      <c r="I237" s="126"/>
      <c r="J237" s="126"/>
      <c r="K237" s="126"/>
      <c r="L237" s="126"/>
      <c r="M237" s="126"/>
      <c r="N237" s="126"/>
      <c r="O237" s="126"/>
      <c r="P237" s="126"/>
      <c r="Q237" s="126"/>
      <c r="R237" s="126"/>
      <c r="S237" s="126"/>
      <c r="T237" s="126"/>
      <c r="U237" s="126"/>
      <c r="V237" s="126"/>
      <c r="W237" s="126"/>
      <c r="X237" s="126"/>
      <c r="Y237" s="126"/>
      <c r="Z237" s="126"/>
    </row>
    <row r="238" ht="15.75" customHeight="1">
      <c r="A238" s="126"/>
      <c r="B238" s="126"/>
      <c r="C238" s="126"/>
      <c r="D238" s="126"/>
      <c r="E238" s="126"/>
      <c r="F238" s="126"/>
      <c r="G238" s="126"/>
      <c r="H238" s="126"/>
      <c r="I238" s="126"/>
      <c r="J238" s="126"/>
      <c r="K238" s="126"/>
      <c r="L238" s="126"/>
      <c r="M238" s="126"/>
      <c r="N238" s="126"/>
      <c r="O238" s="126"/>
      <c r="P238" s="126"/>
      <c r="Q238" s="126"/>
      <c r="R238" s="126"/>
      <c r="S238" s="126"/>
      <c r="T238" s="126"/>
      <c r="U238" s="126"/>
      <c r="V238" s="126"/>
      <c r="W238" s="126"/>
      <c r="X238" s="126"/>
      <c r="Y238" s="126"/>
      <c r="Z238" s="126"/>
    </row>
    <row r="239" ht="15.75" customHeight="1">
      <c r="A239" s="126"/>
      <c r="B239" s="126"/>
      <c r="C239" s="126"/>
      <c r="D239" s="126"/>
      <c r="E239" s="126"/>
      <c r="F239" s="126"/>
      <c r="G239" s="126"/>
      <c r="H239" s="126"/>
      <c r="I239" s="126"/>
      <c r="J239" s="126"/>
      <c r="K239" s="126"/>
      <c r="L239" s="126"/>
      <c r="M239" s="126"/>
      <c r="N239" s="126"/>
      <c r="O239" s="126"/>
      <c r="P239" s="126"/>
      <c r="Q239" s="126"/>
      <c r="R239" s="126"/>
      <c r="S239" s="126"/>
      <c r="T239" s="126"/>
      <c r="U239" s="126"/>
      <c r="V239" s="126"/>
      <c r="W239" s="126"/>
      <c r="X239" s="126"/>
      <c r="Y239" s="126"/>
      <c r="Z239" s="126"/>
    </row>
    <row r="240" ht="15.75" customHeight="1">
      <c r="A240" s="126"/>
      <c r="B240" s="126"/>
      <c r="C240" s="126"/>
      <c r="D240" s="126"/>
      <c r="E240" s="126"/>
      <c r="F240" s="126"/>
      <c r="G240" s="126"/>
      <c r="H240" s="126"/>
      <c r="I240" s="126"/>
      <c r="J240" s="126"/>
      <c r="K240" s="126"/>
      <c r="L240" s="126"/>
      <c r="M240" s="126"/>
      <c r="N240" s="126"/>
      <c r="O240" s="126"/>
      <c r="P240" s="126"/>
      <c r="Q240" s="126"/>
      <c r="R240" s="126"/>
      <c r="S240" s="126"/>
      <c r="T240" s="126"/>
      <c r="U240" s="126"/>
      <c r="V240" s="126"/>
      <c r="W240" s="126"/>
      <c r="X240" s="126"/>
      <c r="Y240" s="126"/>
      <c r="Z240" s="126"/>
    </row>
    <row r="241" ht="15.75" customHeight="1">
      <c r="A241" s="126"/>
      <c r="B241" s="126"/>
      <c r="C241" s="126"/>
      <c r="D241" s="126"/>
      <c r="E241" s="126"/>
      <c r="F241" s="126"/>
      <c r="G241" s="126"/>
      <c r="H241" s="126"/>
      <c r="I241" s="126"/>
      <c r="J241" s="126"/>
      <c r="K241" s="126"/>
      <c r="L241" s="126"/>
      <c r="M241" s="126"/>
      <c r="N241" s="126"/>
      <c r="O241" s="126"/>
      <c r="P241" s="126"/>
      <c r="Q241" s="126"/>
      <c r="R241" s="126"/>
      <c r="S241" s="126"/>
      <c r="T241" s="126"/>
      <c r="U241" s="126"/>
      <c r="V241" s="126"/>
      <c r="W241" s="126"/>
      <c r="X241" s="126"/>
      <c r="Y241" s="126"/>
      <c r="Z241" s="126"/>
    </row>
    <row r="242" ht="15.75" customHeight="1">
      <c r="A242" s="126"/>
      <c r="B242" s="126"/>
      <c r="C242" s="126"/>
      <c r="D242" s="126"/>
      <c r="E242" s="126"/>
      <c r="F242" s="126"/>
      <c r="G242" s="126"/>
      <c r="H242" s="126"/>
      <c r="I242" s="126"/>
      <c r="J242" s="126"/>
      <c r="K242" s="126"/>
      <c r="L242" s="126"/>
      <c r="M242" s="126"/>
      <c r="N242" s="126"/>
      <c r="O242" s="126"/>
      <c r="P242" s="126"/>
      <c r="Q242" s="126"/>
      <c r="R242" s="126"/>
      <c r="S242" s="126"/>
      <c r="T242" s="126"/>
      <c r="U242" s="126"/>
      <c r="V242" s="126"/>
      <c r="W242" s="126"/>
      <c r="X242" s="126"/>
      <c r="Y242" s="126"/>
      <c r="Z242" s="126"/>
    </row>
    <row r="243" ht="15.75" customHeight="1">
      <c r="A243" s="126"/>
      <c r="B243" s="126"/>
      <c r="C243" s="126"/>
      <c r="D243" s="126"/>
      <c r="E243" s="126"/>
      <c r="F243" s="126"/>
      <c r="G243" s="126"/>
      <c r="H243" s="126"/>
      <c r="I243" s="126"/>
      <c r="J243" s="126"/>
      <c r="K243" s="126"/>
      <c r="L243" s="126"/>
      <c r="M243" s="126"/>
      <c r="N243" s="126"/>
      <c r="O243" s="126"/>
      <c r="P243" s="126"/>
      <c r="Q243" s="126"/>
      <c r="R243" s="126"/>
      <c r="S243" s="126"/>
      <c r="T243" s="126"/>
      <c r="U243" s="126"/>
      <c r="V243" s="126"/>
      <c r="W243" s="126"/>
      <c r="X243" s="126"/>
      <c r="Y243" s="126"/>
      <c r="Z243" s="126"/>
    </row>
    <row r="244" ht="15.75" customHeight="1">
      <c r="A244" s="126"/>
      <c r="B244" s="126"/>
      <c r="C244" s="126"/>
      <c r="D244" s="126"/>
      <c r="E244" s="126"/>
      <c r="F244" s="126"/>
      <c r="G244" s="126"/>
      <c r="H244" s="126"/>
      <c r="I244" s="126"/>
      <c r="J244" s="126"/>
      <c r="K244" s="126"/>
      <c r="L244" s="126"/>
      <c r="M244" s="126"/>
      <c r="N244" s="126"/>
      <c r="O244" s="126"/>
      <c r="P244" s="126"/>
      <c r="Q244" s="126"/>
      <c r="R244" s="126"/>
      <c r="S244" s="126"/>
      <c r="T244" s="126"/>
      <c r="U244" s="126"/>
      <c r="V244" s="126"/>
      <c r="W244" s="126"/>
      <c r="X244" s="126"/>
      <c r="Y244" s="126"/>
      <c r="Z244" s="126"/>
    </row>
    <row r="245" ht="15.75" customHeight="1">
      <c r="A245" s="126"/>
      <c r="B245" s="126"/>
      <c r="C245" s="126"/>
      <c r="D245" s="126"/>
      <c r="E245" s="126"/>
      <c r="F245" s="126"/>
      <c r="G245" s="126"/>
      <c r="H245" s="126"/>
      <c r="I245" s="126"/>
      <c r="J245" s="126"/>
      <c r="K245" s="126"/>
      <c r="L245" s="126"/>
      <c r="M245" s="126"/>
      <c r="N245" s="126"/>
      <c r="O245" s="126"/>
      <c r="P245" s="126"/>
      <c r="Q245" s="126"/>
      <c r="R245" s="126"/>
      <c r="S245" s="126"/>
      <c r="T245" s="126"/>
      <c r="U245" s="126"/>
      <c r="V245" s="126"/>
      <c r="W245" s="126"/>
      <c r="X245" s="126"/>
      <c r="Y245" s="126"/>
      <c r="Z245" s="126"/>
    </row>
    <row r="246" ht="15.75" customHeight="1">
      <c r="A246" s="126"/>
      <c r="B246" s="126"/>
      <c r="C246" s="126"/>
      <c r="D246" s="126"/>
      <c r="E246" s="126"/>
      <c r="F246" s="126"/>
      <c r="G246" s="126"/>
      <c r="H246" s="126"/>
      <c r="I246" s="126"/>
      <c r="J246" s="126"/>
      <c r="K246" s="126"/>
      <c r="L246" s="126"/>
      <c r="M246" s="126"/>
      <c r="N246" s="126"/>
      <c r="O246" s="126"/>
      <c r="P246" s="126"/>
      <c r="Q246" s="126"/>
      <c r="R246" s="126"/>
      <c r="S246" s="126"/>
      <c r="T246" s="126"/>
      <c r="U246" s="126"/>
      <c r="V246" s="126"/>
      <c r="W246" s="126"/>
      <c r="X246" s="126"/>
      <c r="Y246" s="126"/>
      <c r="Z246" s="126"/>
    </row>
    <row r="247" ht="15.75" customHeight="1">
      <c r="A247" s="126"/>
      <c r="B247" s="126"/>
      <c r="C247" s="126"/>
      <c r="D247" s="126"/>
      <c r="E247" s="126"/>
      <c r="F247" s="126"/>
      <c r="G247" s="126"/>
      <c r="H247" s="126"/>
      <c r="I247" s="126"/>
      <c r="J247" s="126"/>
      <c r="K247" s="126"/>
      <c r="L247" s="126"/>
      <c r="M247" s="126"/>
      <c r="N247" s="126"/>
      <c r="O247" s="126"/>
      <c r="P247" s="126"/>
      <c r="Q247" s="126"/>
      <c r="R247" s="126"/>
      <c r="S247" s="126"/>
      <c r="T247" s="126"/>
      <c r="U247" s="126"/>
      <c r="V247" s="126"/>
      <c r="W247" s="126"/>
      <c r="X247" s="126"/>
      <c r="Y247" s="126"/>
      <c r="Z247" s="126"/>
    </row>
    <row r="248" ht="15.75" customHeight="1">
      <c r="A248" s="126"/>
      <c r="B248" s="126"/>
      <c r="C248" s="126"/>
      <c r="D248" s="126"/>
      <c r="E248" s="126"/>
      <c r="F248" s="126"/>
      <c r="G248" s="126"/>
      <c r="H248" s="126"/>
      <c r="I248" s="126"/>
      <c r="J248" s="126"/>
      <c r="K248" s="126"/>
      <c r="L248" s="126"/>
      <c r="M248" s="126"/>
      <c r="N248" s="126"/>
      <c r="O248" s="126"/>
      <c r="P248" s="126"/>
      <c r="Q248" s="126"/>
      <c r="R248" s="126"/>
      <c r="S248" s="126"/>
      <c r="T248" s="126"/>
      <c r="U248" s="126"/>
      <c r="V248" s="126"/>
      <c r="W248" s="126"/>
      <c r="X248" s="126"/>
      <c r="Y248" s="126"/>
      <c r="Z248" s="126"/>
    </row>
    <row r="249" ht="15.75" customHeight="1">
      <c r="A249" s="126"/>
      <c r="B249" s="126"/>
      <c r="C249" s="126"/>
      <c r="D249" s="126"/>
      <c r="E249" s="126"/>
      <c r="F249" s="126"/>
      <c r="G249" s="126"/>
      <c r="H249" s="126"/>
      <c r="I249" s="126"/>
      <c r="J249" s="126"/>
      <c r="K249" s="126"/>
      <c r="L249" s="126"/>
      <c r="M249" s="126"/>
      <c r="N249" s="126"/>
      <c r="O249" s="126"/>
      <c r="P249" s="126"/>
      <c r="Q249" s="126"/>
      <c r="R249" s="126"/>
      <c r="S249" s="126"/>
      <c r="T249" s="126"/>
      <c r="U249" s="126"/>
      <c r="V249" s="126"/>
      <c r="W249" s="126"/>
      <c r="X249" s="126"/>
      <c r="Y249" s="126"/>
      <c r="Z249" s="126"/>
    </row>
    <row r="250" ht="15.75" customHeight="1">
      <c r="A250" s="126"/>
      <c r="B250" s="126"/>
      <c r="C250" s="126"/>
      <c r="D250" s="126"/>
      <c r="E250" s="126"/>
      <c r="F250" s="126"/>
      <c r="G250" s="126"/>
      <c r="H250" s="126"/>
      <c r="I250" s="126"/>
      <c r="J250" s="126"/>
      <c r="K250" s="126"/>
      <c r="L250" s="126"/>
      <c r="M250" s="126"/>
      <c r="N250" s="126"/>
      <c r="O250" s="126"/>
      <c r="P250" s="126"/>
      <c r="Q250" s="126"/>
      <c r="R250" s="126"/>
      <c r="S250" s="126"/>
      <c r="T250" s="126"/>
      <c r="U250" s="126"/>
      <c r="V250" s="126"/>
      <c r="W250" s="126"/>
      <c r="X250" s="126"/>
      <c r="Y250" s="126"/>
      <c r="Z250" s="126"/>
    </row>
    <row r="251" ht="15.75" customHeight="1">
      <c r="A251" s="126"/>
      <c r="B251" s="126"/>
      <c r="C251" s="126"/>
      <c r="D251" s="126"/>
      <c r="E251" s="126"/>
      <c r="F251" s="126"/>
      <c r="G251" s="126"/>
      <c r="H251" s="126"/>
      <c r="I251" s="126"/>
      <c r="J251" s="126"/>
      <c r="K251" s="126"/>
      <c r="L251" s="126"/>
      <c r="M251" s="126"/>
      <c r="N251" s="126"/>
      <c r="O251" s="126"/>
      <c r="P251" s="126"/>
      <c r="Q251" s="126"/>
      <c r="R251" s="126"/>
      <c r="S251" s="126"/>
      <c r="T251" s="126"/>
      <c r="U251" s="126"/>
      <c r="V251" s="126"/>
      <c r="W251" s="126"/>
      <c r="X251" s="126"/>
      <c r="Y251" s="126"/>
      <c r="Z251" s="126"/>
    </row>
    <row r="252" ht="15.75" customHeight="1">
      <c r="A252" s="126"/>
      <c r="B252" s="126"/>
      <c r="C252" s="126"/>
      <c r="D252" s="126"/>
      <c r="E252" s="126"/>
      <c r="F252" s="126"/>
      <c r="G252" s="126"/>
      <c r="H252" s="126"/>
      <c r="I252" s="126"/>
      <c r="J252" s="126"/>
      <c r="K252" s="126"/>
      <c r="L252" s="126"/>
      <c r="M252" s="126"/>
      <c r="N252" s="126"/>
      <c r="O252" s="126"/>
      <c r="P252" s="126"/>
      <c r="Q252" s="126"/>
      <c r="R252" s="126"/>
      <c r="S252" s="126"/>
      <c r="T252" s="126"/>
      <c r="U252" s="126"/>
      <c r="V252" s="126"/>
      <c r="W252" s="126"/>
      <c r="X252" s="126"/>
      <c r="Y252" s="126"/>
      <c r="Z252" s="126"/>
    </row>
    <row r="253" ht="15.75" customHeight="1">
      <c r="A253" s="126"/>
      <c r="B253" s="126"/>
      <c r="C253" s="126"/>
      <c r="D253" s="126"/>
      <c r="E253" s="126"/>
      <c r="F253" s="126"/>
      <c r="G253" s="126"/>
      <c r="H253" s="126"/>
      <c r="I253" s="126"/>
      <c r="J253" s="126"/>
      <c r="K253" s="126"/>
      <c r="L253" s="126"/>
      <c r="M253" s="126"/>
      <c r="N253" s="126"/>
      <c r="O253" s="126"/>
      <c r="P253" s="126"/>
      <c r="Q253" s="126"/>
      <c r="R253" s="126"/>
      <c r="S253" s="126"/>
      <c r="T253" s="126"/>
      <c r="U253" s="126"/>
      <c r="V253" s="126"/>
      <c r="W253" s="126"/>
      <c r="X253" s="126"/>
      <c r="Y253" s="126"/>
      <c r="Z253" s="126"/>
    </row>
    <row r="254" ht="15.75" customHeight="1">
      <c r="A254" s="126"/>
      <c r="B254" s="126"/>
      <c r="C254" s="126"/>
      <c r="D254" s="126"/>
      <c r="E254" s="126"/>
      <c r="F254" s="126"/>
      <c r="G254" s="126"/>
      <c r="H254" s="126"/>
      <c r="I254" s="126"/>
      <c r="J254" s="126"/>
      <c r="K254" s="126"/>
      <c r="L254" s="126"/>
      <c r="M254" s="126"/>
      <c r="N254" s="126"/>
      <c r="O254" s="126"/>
      <c r="P254" s="126"/>
      <c r="Q254" s="126"/>
      <c r="R254" s="126"/>
      <c r="S254" s="126"/>
      <c r="T254" s="126"/>
      <c r="U254" s="126"/>
      <c r="V254" s="126"/>
      <c r="W254" s="126"/>
      <c r="X254" s="126"/>
      <c r="Y254" s="126"/>
      <c r="Z254" s="126"/>
    </row>
    <row r="255" ht="15.75" customHeight="1">
      <c r="A255" s="126"/>
      <c r="B255" s="126"/>
      <c r="C255" s="126"/>
      <c r="D255" s="126"/>
      <c r="E255" s="126"/>
      <c r="F255" s="126"/>
      <c r="G255" s="126"/>
      <c r="H255" s="126"/>
      <c r="I255" s="126"/>
      <c r="J255" s="126"/>
      <c r="K255" s="126"/>
      <c r="L255" s="126"/>
      <c r="M255" s="126"/>
      <c r="N255" s="126"/>
      <c r="O255" s="126"/>
      <c r="P255" s="126"/>
      <c r="Q255" s="126"/>
      <c r="R255" s="126"/>
      <c r="S255" s="126"/>
      <c r="T255" s="126"/>
      <c r="U255" s="126"/>
      <c r="V255" s="126"/>
      <c r="W255" s="126"/>
      <c r="X255" s="126"/>
      <c r="Y255" s="126"/>
      <c r="Z255" s="126"/>
    </row>
    <row r="256" ht="15.75" customHeight="1">
      <c r="A256" s="126"/>
      <c r="B256" s="126"/>
      <c r="C256" s="126"/>
      <c r="D256" s="126"/>
      <c r="E256" s="126"/>
      <c r="F256" s="126"/>
      <c r="G256" s="126"/>
      <c r="H256" s="126"/>
      <c r="I256" s="126"/>
      <c r="J256" s="126"/>
      <c r="K256" s="126"/>
      <c r="L256" s="126"/>
      <c r="M256" s="126"/>
      <c r="N256" s="126"/>
      <c r="O256" s="126"/>
      <c r="P256" s="126"/>
      <c r="Q256" s="126"/>
      <c r="R256" s="126"/>
      <c r="S256" s="126"/>
      <c r="T256" s="126"/>
      <c r="U256" s="126"/>
      <c r="V256" s="126"/>
      <c r="W256" s="126"/>
      <c r="X256" s="126"/>
      <c r="Y256" s="126"/>
      <c r="Z256" s="126"/>
    </row>
    <row r="257" ht="15.75" customHeight="1">
      <c r="A257" s="126"/>
      <c r="B257" s="126"/>
      <c r="C257" s="126"/>
      <c r="D257" s="126"/>
      <c r="E257" s="126"/>
      <c r="F257" s="126"/>
      <c r="G257" s="126"/>
      <c r="H257" s="126"/>
      <c r="I257" s="126"/>
      <c r="J257" s="126"/>
      <c r="K257" s="126"/>
      <c r="L257" s="126"/>
      <c r="M257" s="126"/>
      <c r="N257" s="126"/>
      <c r="O257" s="126"/>
      <c r="P257" s="126"/>
      <c r="Q257" s="126"/>
      <c r="R257" s="126"/>
      <c r="S257" s="126"/>
      <c r="T257" s="126"/>
      <c r="U257" s="126"/>
      <c r="V257" s="126"/>
      <c r="W257" s="126"/>
      <c r="X257" s="126"/>
      <c r="Y257" s="126"/>
      <c r="Z257" s="126"/>
    </row>
    <row r="258" ht="15.75" customHeight="1">
      <c r="A258" s="126"/>
      <c r="B258" s="126"/>
      <c r="C258" s="126"/>
      <c r="D258" s="126"/>
      <c r="E258" s="126"/>
      <c r="F258" s="126"/>
      <c r="G258" s="126"/>
      <c r="H258" s="126"/>
      <c r="I258" s="126"/>
      <c r="J258" s="126"/>
      <c r="K258" s="126"/>
      <c r="L258" s="126"/>
      <c r="M258" s="126"/>
      <c r="N258" s="126"/>
      <c r="O258" s="126"/>
      <c r="P258" s="126"/>
      <c r="Q258" s="126"/>
      <c r="R258" s="126"/>
      <c r="S258" s="126"/>
      <c r="T258" s="126"/>
      <c r="U258" s="126"/>
      <c r="V258" s="126"/>
      <c r="W258" s="126"/>
      <c r="X258" s="126"/>
      <c r="Y258" s="126"/>
      <c r="Z258" s="126"/>
    </row>
    <row r="259" ht="15.75" customHeight="1">
      <c r="A259" s="126"/>
      <c r="B259" s="126"/>
      <c r="C259" s="126"/>
      <c r="D259" s="126"/>
      <c r="E259" s="126"/>
      <c r="F259" s="126"/>
      <c r="G259" s="126"/>
      <c r="H259" s="126"/>
      <c r="I259" s="126"/>
      <c r="J259" s="126"/>
      <c r="K259" s="126"/>
      <c r="L259" s="126"/>
      <c r="M259" s="126"/>
      <c r="N259" s="126"/>
      <c r="O259" s="126"/>
      <c r="P259" s="126"/>
      <c r="Q259" s="126"/>
      <c r="R259" s="126"/>
      <c r="S259" s="126"/>
      <c r="T259" s="126"/>
      <c r="U259" s="126"/>
      <c r="V259" s="126"/>
      <c r="W259" s="126"/>
      <c r="X259" s="126"/>
      <c r="Y259" s="126"/>
      <c r="Z259" s="126"/>
    </row>
    <row r="260" ht="15.75" customHeight="1">
      <c r="A260" s="126"/>
      <c r="B260" s="126"/>
      <c r="C260" s="126"/>
      <c r="D260" s="126"/>
      <c r="E260" s="126"/>
      <c r="F260" s="126"/>
      <c r="G260" s="126"/>
      <c r="H260" s="126"/>
      <c r="I260" s="126"/>
      <c r="J260" s="126"/>
      <c r="K260" s="126"/>
      <c r="L260" s="126"/>
      <c r="M260" s="126"/>
      <c r="N260" s="126"/>
      <c r="O260" s="126"/>
      <c r="P260" s="126"/>
      <c r="Q260" s="126"/>
      <c r="R260" s="126"/>
      <c r="S260" s="126"/>
      <c r="T260" s="126"/>
      <c r="U260" s="126"/>
      <c r="V260" s="126"/>
      <c r="W260" s="126"/>
      <c r="X260" s="126"/>
      <c r="Y260" s="126"/>
      <c r="Z260" s="126"/>
    </row>
    <row r="261" ht="15.75" customHeight="1">
      <c r="A261" s="126"/>
      <c r="B261" s="126"/>
      <c r="C261" s="126"/>
      <c r="D261" s="126"/>
      <c r="E261" s="126"/>
      <c r="F261" s="126"/>
      <c r="G261" s="126"/>
      <c r="H261" s="126"/>
      <c r="I261" s="126"/>
      <c r="J261" s="126"/>
      <c r="K261" s="126"/>
      <c r="L261" s="126"/>
      <c r="M261" s="126"/>
      <c r="N261" s="126"/>
      <c r="O261" s="126"/>
      <c r="P261" s="126"/>
      <c r="Q261" s="126"/>
      <c r="R261" s="126"/>
      <c r="S261" s="126"/>
      <c r="T261" s="126"/>
      <c r="U261" s="126"/>
      <c r="V261" s="126"/>
      <c r="W261" s="126"/>
      <c r="X261" s="126"/>
      <c r="Y261" s="126"/>
      <c r="Z261" s="126"/>
    </row>
    <row r="262" ht="15.75" customHeight="1">
      <c r="A262" s="126"/>
      <c r="B262" s="126"/>
      <c r="C262" s="126"/>
      <c r="D262" s="126"/>
      <c r="E262" s="126"/>
      <c r="F262" s="126"/>
      <c r="G262" s="126"/>
      <c r="H262" s="126"/>
      <c r="I262" s="126"/>
      <c r="J262" s="126"/>
      <c r="K262" s="126"/>
      <c r="L262" s="126"/>
      <c r="M262" s="126"/>
      <c r="N262" s="126"/>
      <c r="O262" s="126"/>
      <c r="P262" s="126"/>
      <c r="Q262" s="126"/>
      <c r="R262" s="126"/>
      <c r="S262" s="126"/>
      <c r="T262" s="126"/>
      <c r="U262" s="126"/>
      <c r="V262" s="126"/>
      <c r="W262" s="126"/>
      <c r="X262" s="126"/>
      <c r="Y262" s="126"/>
      <c r="Z262" s="126"/>
    </row>
    <row r="263" ht="15.75" customHeight="1">
      <c r="A263" s="126"/>
      <c r="B263" s="126"/>
      <c r="C263" s="126"/>
      <c r="D263" s="126"/>
      <c r="E263" s="126"/>
      <c r="F263" s="126"/>
      <c r="G263" s="126"/>
      <c r="H263" s="126"/>
      <c r="I263" s="126"/>
      <c r="J263" s="126"/>
      <c r="K263" s="126"/>
      <c r="L263" s="126"/>
      <c r="M263" s="126"/>
      <c r="N263" s="126"/>
      <c r="O263" s="126"/>
      <c r="P263" s="126"/>
      <c r="Q263" s="126"/>
      <c r="R263" s="126"/>
      <c r="S263" s="126"/>
      <c r="T263" s="126"/>
      <c r="U263" s="126"/>
      <c r="V263" s="126"/>
      <c r="W263" s="126"/>
      <c r="X263" s="126"/>
      <c r="Y263" s="126"/>
      <c r="Z263" s="126"/>
    </row>
    <row r="264" ht="15.75" customHeight="1">
      <c r="A264" s="126"/>
      <c r="B264" s="126"/>
      <c r="C264" s="126"/>
      <c r="D264" s="126"/>
      <c r="E264" s="126"/>
      <c r="F264" s="126"/>
      <c r="G264" s="126"/>
      <c r="H264" s="126"/>
      <c r="I264" s="126"/>
      <c r="J264" s="126"/>
      <c r="K264" s="126"/>
      <c r="L264" s="126"/>
      <c r="M264" s="126"/>
      <c r="N264" s="126"/>
      <c r="O264" s="126"/>
      <c r="P264" s="126"/>
      <c r="Q264" s="126"/>
      <c r="R264" s="126"/>
      <c r="S264" s="126"/>
      <c r="T264" s="126"/>
      <c r="U264" s="126"/>
      <c r="V264" s="126"/>
      <c r="W264" s="126"/>
      <c r="X264" s="126"/>
      <c r="Y264" s="126"/>
      <c r="Z264" s="126"/>
    </row>
    <row r="265" ht="15.75" customHeight="1">
      <c r="A265" s="126"/>
      <c r="B265" s="126"/>
      <c r="C265" s="126"/>
      <c r="D265" s="126"/>
      <c r="E265" s="126"/>
      <c r="F265" s="126"/>
      <c r="G265" s="126"/>
      <c r="H265" s="126"/>
      <c r="I265" s="126"/>
      <c r="J265" s="126"/>
      <c r="K265" s="126"/>
      <c r="L265" s="126"/>
      <c r="M265" s="126"/>
      <c r="N265" s="126"/>
      <c r="O265" s="126"/>
      <c r="P265" s="126"/>
      <c r="Q265" s="126"/>
      <c r="R265" s="126"/>
      <c r="S265" s="126"/>
      <c r="T265" s="126"/>
      <c r="U265" s="126"/>
      <c r="V265" s="126"/>
      <c r="W265" s="126"/>
      <c r="X265" s="126"/>
      <c r="Y265" s="126"/>
      <c r="Z265" s="126"/>
    </row>
    <row r="266" ht="15.75" customHeight="1">
      <c r="A266" s="126"/>
      <c r="B266" s="126"/>
      <c r="C266" s="126"/>
      <c r="D266" s="126"/>
      <c r="E266" s="126"/>
      <c r="F266" s="126"/>
      <c r="G266" s="126"/>
      <c r="H266" s="126"/>
      <c r="I266" s="126"/>
      <c r="J266" s="126"/>
      <c r="K266" s="126"/>
      <c r="L266" s="126"/>
      <c r="M266" s="126"/>
      <c r="N266" s="126"/>
      <c r="O266" s="126"/>
      <c r="P266" s="126"/>
      <c r="Q266" s="126"/>
      <c r="R266" s="126"/>
      <c r="S266" s="126"/>
      <c r="T266" s="126"/>
      <c r="U266" s="126"/>
      <c r="V266" s="126"/>
      <c r="W266" s="126"/>
      <c r="X266" s="126"/>
      <c r="Y266" s="126"/>
      <c r="Z266" s="126"/>
    </row>
    <row r="267" ht="15.75" customHeight="1">
      <c r="A267" s="126"/>
      <c r="B267" s="126"/>
      <c r="C267" s="126"/>
      <c r="D267" s="126"/>
      <c r="E267" s="126"/>
      <c r="F267" s="126"/>
      <c r="G267" s="126"/>
      <c r="H267" s="126"/>
      <c r="I267" s="126"/>
      <c r="J267" s="126"/>
      <c r="K267" s="126"/>
      <c r="L267" s="126"/>
      <c r="M267" s="126"/>
      <c r="N267" s="126"/>
      <c r="O267" s="126"/>
      <c r="P267" s="126"/>
      <c r="Q267" s="126"/>
      <c r="R267" s="126"/>
      <c r="S267" s="126"/>
      <c r="T267" s="126"/>
      <c r="U267" s="126"/>
      <c r="V267" s="126"/>
      <c r="W267" s="126"/>
      <c r="X267" s="126"/>
      <c r="Y267" s="126"/>
      <c r="Z267" s="126"/>
    </row>
    <row r="268" ht="15.75" customHeight="1">
      <c r="A268" s="126"/>
      <c r="B268" s="126"/>
      <c r="C268" s="126"/>
      <c r="D268" s="126"/>
      <c r="E268" s="126"/>
      <c r="F268" s="126"/>
      <c r="G268" s="126"/>
      <c r="H268" s="126"/>
      <c r="I268" s="126"/>
      <c r="J268" s="126"/>
      <c r="K268" s="126"/>
      <c r="L268" s="126"/>
      <c r="M268" s="126"/>
      <c r="N268" s="126"/>
      <c r="O268" s="126"/>
      <c r="P268" s="126"/>
      <c r="Q268" s="126"/>
      <c r="R268" s="126"/>
      <c r="S268" s="126"/>
      <c r="T268" s="126"/>
      <c r="U268" s="126"/>
      <c r="V268" s="126"/>
      <c r="W268" s="126"/>
      <c r="X268" s="126"/>
      <c r="Y268" s="126"/>
      <c r="Z268" s="126"/>
    </row>
    <row r="269" ht="15.75" customHeight="1">
      <c r="A269" s="126"/>
      <c r="B269" s="126"/>
      <c r="C269" s="126"/>
      <c r="D269" s="126"/>
      <c r="E269" s="126"/>
      <c r="F269" s="126"/>
      <c r="G269" s="126"/>
      <c r="H269" s="126"/>
      <c r="I269" s="126"/>
      <c r="J269" s="126"/>
      <c r="K269" s="126"/>
      <c r="L269" s="126"/>
      <c r="M269" s="126"/>
      <c r="N269" s="126"/>
      <c r="O269" s="126"/>
      <c r="P269" s="126"/>
      <c r="Q269" s="126"/>
      <c r="R269" s="126"/>
      <c r="S269" s="126"/>
      <c r="T269" s="126"/>
      <c r="U269" s="126"/>
      <c r="V269" s="126"/>
      <c r="W269" s="126"/>
      <c r="X269" s="126"/>
      <c r="Y269" s="126"/>
      <c r="Z269" s="126"/>
    </row>
    <row r="270" ht="15.75" customHeight="1">
      <c r="A270" s="126"/>
      <c r="B270" s="126"/>
      <c r="C270" s="126"/>
      <c r="D270" s="126"/>
      <c r="E270" s="126"/>
      <c r="F270" s="126"/>
      <c r="G270" s="126"/>
      <c r="H270" s="126"/>
      <c r="I270" s="126"/>
      <c r="J270" s="126"/>
      <c r="K270" s="126"/>
      <c r="L270" s="126"/>
      <c r="M270" s="126"/>
      <c r="N270" s="126"/>
      <c r="O270" s="126"/>
      <c r="P270" s="126"/>
      <c r="Q270" s="126"/>
      <c r="R270" s="126"/>
      <c r="S270" s="126"/>
      <c r="T270" s="126"/>
      <c r="U270" s="126"/>
      <c r="V270" s="126"/>
      <c r="W270" s="126"/>
      <c r="X270" s="126"/>
      <c r="Y270" s="126"/>
      <c r="Z270" s="126"/>
    </row>
    <row r="271" ht="15.75" customHeight="1">
      <c r="A271" s="126"/>
      <c r="B271" s="126"/>
      <c r="C271" s="126"/>
      <c r="D271" s="126"/>
      <c r="E271" s="126"/>
      <c r="F271" s="126"/>
      <c r="G271" s="126"/>
      <c r="H271" s="126"/>
      <c r="I271" s="126"/>
      <c r="J271" s="126"/>
      <c r="K271" s="126"/>
      <c r="L271" s="126"/>
      <c r="M271" s="126"/>
      <c r="N271" s="126"/>
      <c r="O271" s="126"/>
      <c r="P271" s="126"/>
      <c r="Q271" s="126"/>
      <c r="R271" s="126"/>
      <c r="S271" s="126"/>
      <c r="T271" s="126"/>
      <c r="U271" s="126"/>
      <c r="V271" s="126"/>
      <c r="W271" s="126"/>
      <c r="X271" s="126"/>
      <c r="Y271" s="126"/>
      <c r="Z271" s="126"/>
    </row>
    <row r="272" ht="15.75" customHeight="1">
      <c r="A272" s="126"/>
      <c r="B272" s="126"/>
      <c r="C272" s="126"/>
      <c r="D272" s="126"/>
      <c r="E272" s="126"/>
      <c r="F272" s="126"/>
      <c r="G272" s="126"/>
      <c r="H272" s="126"/>
      <c r="I272" s="126"/>
      <c r="J272" s="126"/>
      <c r="K272" s="126"/>
      <c r="L272" s="126"/>
      <c r="M272" s="126"/>
      <c r="N272" s="126"/>
      <c r="O272" s="126"/>
      <c r="P272" s="126"/>
      <c r="Q272" s="126"/>
      <c r="R272" s="126"/>
      <c r="S272" s="126"/>
      <c r="T272" s="126"/>
      <c r="U272" s="126"/>
      <c r="V272" s="126"/>
      <c r="W272" s="126"/>
      <c r="X272" s="126"/>
      <c r="Y272" s="126"/>
      <c r="Z272" s="126"/>
    </row>
    <row r="273" ht="15.75" customHeight="1">
      <c r="A273" s="126"/>
      <c r="B273" s="126"/>
      <c r="C273" s="126"/>
      <c r="D273" s="126"/>
      <c r="E273" s="126"/>
      <c r="F273" s="126"/>
      <c r="G273" s="126"/>
      <c r="H273" s="126"/>
      <c r="I273" s="126"/>
      <c r="J273" s="126"/>
      <c r="K273" s="126"/>
      <c r="L273" s="126"/>
      <c r="M273" s="126"/>
      <c r="N273" s="126"/>
      <c r="O273" s="126"/>
      <c r="P273" s="126"/>
      <c r="Q273" s="126"/>
      <c r="R273" s="126"/>
      <c r="S273" s="126"/>
      <c r="T273" s="126"/>
      <c r="U273" s="126"/>
      <c r="V273" s="126"/>
      <c r="W273" s="126"/>
      <c r="X273" s="126"/>
      <c r="Y273" s="126"/>
      <c r="Z273" s="126"/>
    </row>
    <row r="274" ht="15.75" customHeight="1">
      <c r="A274" s="126"/>
      <c r="B274" s="126"/>
      <c r="C274" s="126"/>
      <c r="D274" s="126"/>
      <c r="E274" s="126"/>
      <c r="F274" s="126"/>
      <c r="G274" s="126"/>
      <c r="H274" s="126"/>
      <c r="I274" s="126"/>
      <c r="J274" s="126"/>
      <c r="K274" s="126"/>
      <c r="L274" s="126"/>
      <c r="M274" s="126"/>
      <c r="N274" s="126"/>
      <c r="O274" s="126"/>
      <c r="P274" s="126"/>
      <c r="Q274" s="126"/>
      <c r="R274" s="126"/>
      <c r="S274" s="126"/>
      <c r="T274" s="126"/>
      <c r="U274" s="126"/>
      <c r="V274" s="126"/>
      <c r="W274" s="126"/>
      <c r="X274" s="126"/>
      <c r="Y274" s="126"/>
      <c r="Z274" s="126"/>
    </row>
    <row r="275" ht="15.75" customHeight="1">
      <c r="A275" s="126"/>
      <c r="B275" s="126"/>
      <c r="C275" s="126"/>
      <c r="D275" s="126"/>
      <c r="E275" s="126"/>
      <c r="F275" s="126"/>
      <c r="G275" s="126"/>
      <c r="H275" s="126"/>
      <c r="I275" s="126"/>
      <c r="J275" s="126"/>
      <c r="K275" s="126"/>
      <c r="L275" s="126"/>
      <c r="M275" s="126"/>
      <c r="N275" s="126"/>
      <c r="O275" s="126"/>
      <c r="P275" s="126"/>
      <c r="Q275" s="126"/>
      <c r="R275" s="126"/>
      <c r="S275" s="126"/>
      <c r="T275" s="126"/>
      <c r="U275" s="126"/>
      <c r="V275" s="126"/>
      <c r="W275" s="126"/>
      <c r="X275" s="126"/>
      <c r="Y275" s="126"/>
      <c r="Z275" s="126"/>
    </row>
    <row r="276" ht="15.75" customHeight="1">
      <c r="A276" s="126"/>
      <c r="B276" s="126"/>
      <c r="C276" s="126"/>
      <c r="D276" s="126"/>
      <c r="E276" s="126"/>
      <c r="F276" s="126"/>
      <c r="G276" s="126"/>
      <c r="H276" s="126"/>
      <c r="I276" s="126"/>
      <c r="J276" s="126"/>
      <c r="K276" s="126"/>
      <c r="L276" s="126"/>
      <c r="M276" s="126"/>
      <c r="N276" s="126"/>
      <c r="O276" s="126"/>
      <c r="P276" s="126"/>
      <c r="Q276" s="126"/>
      <c r="R276" s="126"/>
      <c r="S276" s="126"/>
      <c r="T276" s="126"/>
      <c r="U276" s="126"/>
      <c r="V276" s="126"/>
      <c r="W276" s="126"/>
      <c r="X276" s="126"/>
      <c r="Y276" s="126"/>
      <c r="Z276" s="126"/>
    </row>
    <row r="277" ht="15.75" customHeight="1">
      <c r="A277" s="126"/>
      <c r="B277" s="126"/>
      <c r="C277" s="126"/>
      <c r="D277" s="126"/>
      <c r="E277" s="126"/>
      <c r="F277" s="126"/>
      <c r="G277" s="126"/>
      <c r="H277" s="126"/>
      <c r="I277" s="126"/>
      <c r="J277" s="126"/>
      <c r="K277" s="126"/>
      <c r="L277" s="126"/>
      <c r="M277" s="126"/>
      <c r="N277" s="126"/>
      <c r="O277" s="126"/>
      <c r="P277" s="126"/>
      <c r="Q277" s="126"/>
      <c r="R277" s="126"/>
      <c r="S277" s="126"/>
      <c r="T277" s="126"/>
      <c r="U277" s="126"/>
      <c r="V277" s="126"/>
      <c r="W277" s="126"/>
      <c r="X277" s="126"/>
      <c r="Y277" s="126"/>
      <c r="Z277" s="126"/>
    </row>
    <row r="278" ht="15.75" customHeight="1">
      <c r="A278" s="126"/>
      <c r="B278" s="126"/>
      <c r="C278" s="126"/>
      <c r="D278" s="126"/>
      <c r="E278" s="126"/>
      <c r="F278" s="126"/>
      <c r="G278" s="126"/>
      <c r="H278" s="126"/>
      <c r="I278" s="126"/>
      <c r="J278" s="126"/>
      <c r="K278" s="126"/>
      <c r="L278" s="126"/>
      <c r="M278" s="126"/>
      <c r="N278" s="126"/>
      <c r="O278" s="126"/>
      <c r="P278" s="126"/>
      <c r="Q278" s="126"/>
      <c r="R278" s="126"/>
      <c r="S278" s="126"/>
      <c r="T278" s="126"/>
      <c r="U278" s="126"/>
      <c r="V278" s="126"/>
      <c r="W278" s="126"/>
      <c r="X278" s="126"/>
      <c r="Y278" s="126"/>
      <c r="Z278" s="126"/>
    </row>
    <row r="279" ht="15.75" customHeight="1">
      <c r="A279" s="126"/>
      <c r="B279" s="126"/>
      <c r="C279" s="126"/>
      <c r="D279" s="126"/>
      <c r="E279" s="126"/>
      <c r="F279" s="126"/>
      <c r="G279" s="126"/>
      <c r="H279" s="126"/>
      <c r="I279" s="126"/>
      <c r="J279" s="126"/>
      <c r="K279" s="126"/>
      <c r="L279" s="126"/>
      <c r="M279" s="126"/>
      <c r="N279" s="126"/>
      <c r="O279" s="126"/>
      <c r="P279" s="126"/>
      <c r="Q279" s="126"/>
      <c r="R279" s="126"/>
      <c r="S279" s="126"/>
      <c r="T279" s="126"/>
      <c r="U279" s="126"/>
      <c r="V279" s="126"/>
      <c r="W279" s="126"/>
      <c r="X279" s="126"/>
      <c r="Y279" s="126"/>
      <c r="Z279" s="126"/>
    </row>
    <row r="280" ht="15.75" customHeight="1">
      <c r="A280" s="126"/>
      <c r="B280" s="126"/>
      <c r="C280" s="126"/>
      <c r="D280" s="126"/>
      <c r="E280" s="126"/>
      <c r="F280" s="126"/>
      <c r="G280" s="126"/>
      <c r="H280" s="126"/>
      <c r="I280" s="126"/>
      <c r="J280" s="126"/>
      <c r="K280" s="126"/>
      <c r="L280" s="126"/>
      <c r="M280" s="126"/>
      <c r="N280" s="126"/>
      <c r="O280" s="126"/>
      <c r="P280" s="126"/>
      <c r="Q280" s="126"/>
      <c r="R280" s="126"/>
      <c r="S280" s="126"/>
      <c r="T280" s="126"/>
      <c r="U280" s="126"/>
      <c r="V280" s="126"/>
      <c r="W280" s="126"/>
      <c r="X280" s="126"/>
      <c r="Y280" s="126"/>
      <c r="Z280" s="126"/>
    </row>
    <row r="281" ht="15.75" customHeight="1">
      <c r="A281" s="126"/>
      <c r="B281" s="126"/>
      <c r="C281" s="126"/>
      <c r="D281" s="126"/>
      <c r="E281" s="126"/>
      <c r="F281" s="126"/>
      <c r="G281" s="126"/>
      <c r="H281" s="126"/>
      <c r="I281" s="126"/>
      <c r="J281" s="126"/>
      <c r="K281" s="126"/>
      <c r="L281" s="126"/>
      <c r="M281" s="126"/>
      <c r="N281" s="126"/>
      <c r="O281" s="126"/>
      <c r="P281" s="126"/>
      <c r="Q281" s="126"/>
      <c r="R281" s="126"/>
      <c r="S281" s="126"/>
      <c r="T281" s="126"/>
      <c r="U281" s="126"/>
      <c r="V281" s="126"/>
      <c r="W281" s="126"/>
      <c r="X281" s="126"/>
      <c r="Y281" s="126"/>
      <c r="Z281" s="126"/>
    </row>
    <row r="282" ht="15.75" customHeight="1">
      <c r="A282" s="126"/>
      <c r="B282" s="126"/>
      <c r="C282" s="126"/>
      <c r="D282" s="126"/>
      <c r="E282" s="126"/>
      <c r="F282" s="126"/>
      <c r="G282" s="126"/>
      <c r="H282" s="126"/>
      <c r="I282" s="126"/>
      <c r="J282" s="126"/>
      <c r="K282" s="126"/>
      <c r="L282" s="126"/>
      <c r="M282" s="126"/>
      <c r="N282" s="126"/>
      <c r="O282" s="126"/>
      <c r="P282" s="126"/>
      <c r="Q282" s="126"/>
      <c r="R282" s="126"/>
      <c r="S282" s="126"/>
      <c r="T282" s="126"/>
      <c r="U282" s="126"/>
      <c r="V282" s="126"/>
      <c r="W282" s="126"/>
      <c r="X282" s="126"/>
      <c r="Y282" s="126"/>
      <c r="Z282" s="126"/>
    </row>
    <row r="283" ht="15.75" customHeight="1">
      <c r="A283" s="126"/>
      <c r="B283" s="126"/>
      <c r="C283" s="126"/>
      <c r="D283" s="126"/>
      <c r="E283" s="126"/>
      <c r="F283" s="126"/>
      <c r="G283" s="126"/>
      <c r="H283" s="126"/>
      <c r="I283" s="126"/>
      <c r="J283" s="126"/>
      <c r="K283" s="126"/>
      <c r="L283" s="126"/>
      <c r="M283" s="126"/>
      <c r="N283" s="126"/>
      <c r="O283" s="126"/>
      <c r="P283" s="126"/>
      <c r="Q283" s="126"/>
      <c r="R283" s="126"/>
      <c r="S283" s="126"/>
      <c r="T283" s="126"/>
      <c r="U283" s="126"/>
      <c r="V283" s="126"/>
      <c r="W283" s="126"/>
      <c r="X283" s="126"/>
      <c r="Y283" s="126"/>
      <c r="Z283" s="126"/>
    </row>
    <row r="284" ht="15.75" customHeight="1">
      <c r="A284" s="126"/>
      <c r="B284" s="126"/>
      <c r="C284" s="126"/>
      <c r="D284" s="126"/>
      <c r="E284" s="126"/>
      <c r="F284" s="126"/>
      <c r="G284" s="126"/>
      <c r="H284" s="126"/>
      <c r="I284" s="126"/>
      <c r="J284" s="126"/>
      <c r="K284" s="126"/>
      <c r="L284" s="126"/>
      <c r="M284" s="126"/>
      <c r="N284" s="126"/>
      <c r="O284" s="126"/>
      <c r="P284" s="126"/>
      <c r="Q284" s="126"/>
      <c r="R284" s="126"/>
      <c r="S284" s="126"/>
      <c r="T284" s="126"/>
      <c r="U284" s="126"/>
      <c r="V284" s="126"/>
      <c r="W284" s="126"/>
      <c r="X284" s="126"/>
      <c r="Y284" s="126"/>
      <c r="Z284" s="126"/>
    </row>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J6"/>
    <hyperlink r:id="rId2" ref="J7"/>
    <hyperlink r:id="rId3" ref="J73"/>
    <hyperlink r:id="rId4" ref="J74"/>
    <hyperlink r:id="rId5" ref="J80"/>
    <hyperlink r:id="rId6" ref="I84"/>
  </hyperlinks>
  <printOptions/>
  <pageMargins bottom="0.75" footer="0.0" header="0.0" left="0.7" right="0.7" top="0.75"/>
  <pageSetup orientation="landscape"/>
  <drawing r:id="rId7"/>
  <tableParts count="3">
    <tablePart r:id="rId11"/>
    <tablePart r:id="rId12"/>
    <tablePart r:id="rId1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15.57"/>
    <col customWidth="1" min="2" max="2" width="21.29"/>
    <col customWidth="1" min="3" max="3" width="20.57"/>
    <col customWidth="1" min="4" max="4" width="19.86"/>
    <col customWidth="1" min="5" max="5" width="20.0"/>
    <col customWidth="1" min="6" max="6" width="21.71"/>
  </cols>
  <sheetData>
    <row r="1">
      <c r="A1" s="146" t="s">
        <v>410</v>
      </c>
    </row>
    <row r="2">
      <c r="A2" s="147" t="s">
        <v>411</v>
      </c>
    </row>
    <row r="3">
      <c r="A3" s="143" t="s">
        <v>412</v>
      </c>
    </row>
    <row r="4">
      <c r="A4" s="148" t="s">
        <v>413</v>
      </c>
    </row>
    <row r="5">
      <c r="A5" s="148" t="s">
        <v>414</v>
      </c>
    </row>
    <row r="6">
      <c r="A6" s="148" t="s">
        <v>415</v>
      </c>
    </row>
    <row r="7">
      <c r="A7" s="148" t="s">
        <v>416</v>
      </c>
    </row>
    <row r="8">
      <c r="A8" s="148" t="s">
        <v>417</v>
      </c>
    </row>
    <row r="9">
      <c r="A9" s="148" t="s">
        <v>418</v>
      </c>
    </row>
    <row r="10">
      <c r="A10" s="148" t="s">
        <v>419</v>
      </c>
    </row>
    <row r="11">
      <c r="A11" s="148" t="s">
        <v>420</v>
      </c>
    </row>
    <row r="12">
      <c r="A12" s="148" t="s">
        <v>421</v>
      </c>
    </row>
    <row r="13">
      <c r="A13" s="50" t="s">
        <v>422</v>
      </c>
    </row>
    <row r="14">
      <c r="A14" s="148" t="s">
        <v>423</v>
      </c>
    </row>
    <row r="15">
      <c r="A15" s="148" t="s">
        <v>424</v>
      </c>
    </row>
    <row r="16">
      <c r="A16" s="148" t="s">
        <v>425</v>
      </c>
    </row>
    <row r="17">
      <c r="A17" s="148" t="s">
        <v>426</v>
      </c>
    </row>
    <row r="19">
      <c r="A19" s="146" t="s">
        <v>427</v>
      </c>
    </row>
    <row r="20">
      <c r="A20" s="147" t="s">
        <v>428</v>
      </c>
    </row>
    <row r="21" ht="15.75" customHeight="1">
      <c r="A21" s="143" t="s">
        <v>412</v>
      </c>
    </row>
    <row r="22" ht="15.75" customHeight="1">
      <c r="A22" s="148" t="s">
        <v>413</v>
      </c>
    </row>
    <row r="23" ht="15.75" customHeight="1">
      <c r="A23" s="148" t="s">
        <v>414</v>
      </c>
    </row>
    <row r="24" ht="15.75" customHeight="1">
      <c r="A24" s="148" t="s">
        <v>415</v>
      </c>
    </row>
    <row r="25" ht="15.75" customHeight="1">
      <c r="A25" s="148" t="s">
        <v>416</v>
      </c>
    </row>
    <row r="26" ht="15.75" customHeight="1">
      <c r="A26" s="148" t="s">
        <v>417</v>
      </c>
    </row>
    <row r="27" ht="15.75" customHeight="1">
      <c r="A27" s="148" t="s">
        <v>418</v>
      </c>
    </row>
    <row r="28" ht="15.75" customHeight="1">
      <c r="A28" s="148" t="s">
        <v>419</v>
      </c>
    </row>
    <row r="29" ht="15.75" customHeight="1">
      <c r="A29" s="148" t="s">
        <v>420</v>
      </c>
    </row>
    <row r="30" ht="15.75" customHeight="1">
      <c r="A30" s="148" t="s">
        <v>421</v>
      </c>
    </row>
    <row r="31" ht="15.75" customHeight="1">
      <c r="A31" s="50" t="s">
        <v>422</v>
      </c>
    </row>
    <row r="32" ht="15.75" customHeight="1">
      <c r="A32" s="148" t="s">
        <v>429</v>
      </c>
    </row>
    <row r="33" ht="15.75" customHeight="1">
      <c r="A33" s="148" t="s">
        <v>424</v>
      </c>
    </row>
    <row r="34" ht="15.75" customHeight="1">
      <c r="A34" s="148" t="s">
        <v>425</v>
      </c>
    </row>
    <row r="35" ht="15.75" customHeight="1">
      <c r="A35" s="148" t="s">
        <v>426</v>
      </c>
    </row>
    <row r="36" ht="15.75" customHeight="1"/>
    <row r="37" ht="15.75" customHeight="1">
      <c r="A37" s="146" t="s">
        <v>430</v>
      </c>
    </row>
    <row r="38" ht="15.75" customHeight="1">
      <c r="A38" s="147" t="s">
        <v>431</v>
      </c>
    </row>
    <row r="39" ht="15.75" customHeight="1">
      <c r="A39" s="143" t="s">
        <v>412</v>
      </c>
    </row>
    <row r="40" ht="15.75" customHeight="1">
      <c r="A40" s="148" t="s">
        <v>432</v>
      </c>
    </row>
    <row r="41" ht="15.75" customHeight="1">
      <c r="A41" s="148" t="s">
        <v>433</v>
      </c>
    </row>
    <row r="42" ht="15.75" customHeight="1">
      <c r="A42" s="148" t="s">
        <v>434</v>
      </c>
    </row>
    <row r="43" ht="15.75" customHeight="1">
      <c r="A43" s="148" t="s">
        <v>416</v>
      </c>
    </row>
    <row r="44" ht="15.75" customHeight="1">
      <c r="A44" s="148" t="s">
        <v>417</v>
      </c>
    </row>
    <row r="45" ht="15.75" customHeight="1">
      <c r="A45" s="148" t="s">
        <v>418</v>
      </c>
    </row>
    <row r="46" ht="15.75" customHeight="1">
      <c r="A46" s="148" t="s">
        <v>435</v>
      </c>
    </row>
    <row r="47" ht="15.75" customHeight="1">
      <c r="A47" s="148" t="s">
        <v>420</v>
      </c>
    </row>
    <row r="48" ht="15.75" customHeight="1">
      <c r="A48" s="148" t="s">
        <v>436</v>
      </c>
    </row>
    <row r="49" ht="15.75" customHeight="1">
      <c r="A49" s="50" t="s">
        <v>422</v>
      </c>
    </row>
    <row r="50" ht="15.75" customHeight="1">
      <c r="A50" s="148" t="s">
        <v>429</v>
      </c>
    </row>
    <row r="51" ht="15.75" customHeight="1">
      <c r="A51" s="148" t="s">
        <v>424</v>
      </c>
    </row>
    <row r="52" ht="15.75" customHeight="1">
      <c r="A52" s="148" t="s">
        <v>437</v>
      </c>
    </row>
    <row r="53" ht="15.75" customHeight="1">
      <c r="A53" s="148" t="s">
        <v>426</v>
      </c>
    </row>
    <row r="54" ht="15.75" customHeight="1">
      <c r="A54" s="147" t="s">
        <v>438</v>
      </c>
    </row>
    <row r="55" ht="15.75" customHeight="1">
      <c r="A55" s="148" t="s">
        <v>439</v>
      </c>
    </row>
    <row r="56" ht="15.75" customHeight="1">
      <c r="A56" s="148" t="s">
        <v>440</v>
      </c>
    </row>
    <row r="57" ht="15.75" customHeight="1">
      <c r="A57" s="148" t="s">
        <v>441</v>
      </c>
    </row>
    <row r="58" ht="15.75" customHeight="1">
      <c r="A58" s="148" t="s">
        <v>442</v>
      </c>
    </row>
    <row r="59" ht="15.75" customHeight="1">
      <c r="A59" s="148" t="s">
        <v>443</v>
      </c>
    </row>
    <row r="60" ht="15.75" customHeight="1">
      <c r="A60" s="148" t="s">
        <v>444</v>
      </c>
    </row>
    <row r="61" ht="15.75" customHeight="1">
      <c r="A61" s="148" t="s">
        <v>445</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5.29"/>
    <col customWidth="1" min="2" max="2" width="221.0"/>
  </cols>
  <sheetData>
    <row r="1">
      <c r="A1" s="149" t="s">
        <v>446</v>
      </c>
      <c r="B1" s="150" t="s">
        <v>447</v>
      </c>
    </row>
    <row r="2">
      <c r="A2" s="151" t="s">
        <v>448</v>
      </c>
      <c r="B2" s="150" t="s">
        <v>449</v>
      </c>
    </row>
    <row r="3">
      <c r="A3" s="151" t="s">
        <v>450</v>
      </c>
      <c r="B3" s="147" t="s">
        <v>451</v>
      </c>
    </row>
    <row r="4">
      <c r="A4" s="151" t="s">
        <v>452</v>
      </c>
      <c r="B4" s="147" t="s">
        <v>453</v>
      </c>
    </row>
    <row r="5">
      <c r="A5" s="151" t="s">
        <v>454</v>
      </c>
      <c r="B5" s="147" t="s">
        <v>455</v>
      </c>
    </row>
    <row r="6">
      <c r="A6" s="151" t="s">
        <v>456</v>
      </c>
      <c r="B6" s="147" t="s">
        <v>457</v>
      </c>
    </row>
    <row r="7">
      <c r="A7" s="151" t="s">
        <v>458</v>
      </c>
      <c r="B7" s="147" t="s">
        <v>459</v>
      </c>
    </row>
    <row r="8">
      <c r="A8" s="151" t="s">
        <v>460</v>
      </c>
      <c r="B8" s="147" t="s">
        <v>461</v>
      </c>
    </row>
    <row r="9">
      <c r="A9" s="152" t="s">
        <v>462</v>
      </c>
      <c r="B9" s="153" t="s">
        <v>463</v>
      </c>
    </row>
    <row r="10">
      <c r="A10" s="154" t="s">
        <v>464</v>
      </c>
      <c r="B10" s="147" t="s">
        <v>465</v>
      </c>
    </row>
    <row r="11">
      <c r="A11" s="154" t="s">
        <v>466</v>
      </c>
      <c r="B11" s="147" t="s">
        <v>467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0.86"/>
    <col customWidth="1" min="2" max="2" width="17.57"/>
  </cols>
  <sheetData>
    <row r="1">
      <c r="A1" s="16" t="s">
        <v>468</v>
      </c>
    </row>
    <row r="2">
      <c r="A2" s="16" t="s">
        <v>469</v>
      </c>
    </row>
    <row r="3">
      <c r="A3" s="16" t="s">
        <v>470</v>
      </c>
    </row>
    <row r="4">
      <c r="A4" s="16" t="s">
        <v>471</v>
      </c>
    </row>
    <row r="5">
      <c r="A5" s="16" t="s">
        <v>472</v>
      </c>
    </row>
    <row r="7">
      <c r="A7" s="16" t="s">
        <v>473</v>
      </c>
    </row>
    <row r="8">
      <c r="A8" s="16" t="s">
        <v>474</v>
      </c>
    </row>
    <row r="9">
      <c r="A9" s="16" t="s">
        <v>475</v>
      </c>
    </row>
    <row r="10">
      <c r="A10" s="16" t="s">
        <v>476</v>
      </c>
    </row>
    <row r="12">
      <c r="A12" s="16" t="s">
        <v>477</v>
      </c>
    </row>
    <row r="13">
      <c r="A13" s="16" t="s">
        <v>478</v>
      </c>
    </row>
    <row r="14">
      <c r="A14" s="16" t="s">
        <v>479</v>
      </c>
    </row>
    <row r="15">
      <c r="A15" s="16" t="s">
        <v>480</v>
      </c>
    </row>
    <row r="16">
      <c r="A16" s="16" t="s">
        <v>481</v>
      </c>
    </row>
    <row r="18">
      <c r="A18" s="16" t="s">
        <v>482</v>
      </c>
    </row>
    <row r="19">
      <c r="A19" s="16" t="s">
        <v>483</v>
      </c>
    </row>
    <row r="20">
      <c r="A20" s="16" t="s">
        <v>484</v>
      </c>
    </row>
    <row r="21" ht="15.75" customHeight="1">
      <c r="A21" s="16" t="s">
        <v>485</v>
      </c>
    </row>
    <row r="22" ht="15.75" customHeight="1">
      <c r="A22" s="16" t="s">
        <v>486</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87.14"/>
    <col customWidth="1" min="2" max="2" width="20.29"/>
    <col customWidth="1" min="3" max="3" width="105.71"/>
    <col customWidth="1" min="4" max="4" width="14.86"/>
    <col customWidth="1" min="5" max="5" width="107.29"/>
    <col customWidth="1" min="6" max="6" width="8.71"/>
    <col customWidth="1" min="7" max="7" width="71.14"/>
    <col customWidth="1" min="8" max="26" width="8.71"/>
  </cols>
  <sheetData>
    <row r="1" ht="19.5" customHeight="1">
      <c r="A1" s="16" t="s">
        <v>487</v>
      </c>
      <c r="B1" s="45"/>
      <c r="C1" s="155"/>
      <c r="E1" s="146" t="s">
        <v>410</v>
      </c>
      <c r="F1" s="45"/>
      <c r="G1" s="45" t="s">
        <v>488</v>
      </c>
      <c r="H1" s="45"/>
      <c r="I1" s="45"/>
      <c r="J1" s="45"/>
      <c r="K1" s="45"/>
      <c r="L1" s="45"/>
      <c r="M1" s="45"/>
      <c r="N1" s="45"/>
      <c r="O1" s="45"/>
      <c r="P1" s="45"/>
      <c r="Q1" s="45"/>
      <c r="R1" s="45"/>
      <c r="S1" s="45"/>
      <c r="T1" s="45"/>
      <c r="U1" s="45"/>
      <c r="V1" s="45"/>
      <c r="W1" s="45"/>
      <c r="X1" s="45"/>
      <c r="Y1" s="45"/>
      <c r="Z1" s="45"/>
    </row>
    <row r="2" ht="19.5" customHeight="1">
      <c r="A2" s="147" t="s">
        <v>489</v>
      </c>
      <c r="B2" s="45"/>
      <c r="C2" s="156" t="s">
        <v>490</v>
      </c>
      <c r="D2" s="45"/>
      <c r="E2" s="147" t="s">
        <v>491</v>
      </c>
      <c r="F2" s="45"/>
      <c r="G2" s="45" t="s">
        <v>492</v>
      </c>
      <c r="H2" s="45"/>
      <c r="I2" s="45"/>
      <c r="J2" s="45"/>
      <c r="K2" s="45"/>
      <c r="L2" s="45"/>
      <c r="M2" s="45"/>
      <c r="N2" s="45"/>
      <c r="O2" s="45"/>
      <c r="P2" s="45"/>
      <c r="Q2" s="45"/>
      <c r="R2" s="45"/>
      <c r="S2" s="45"/>
      <c r="T2" s="45"/>
      <c r="U2" s="45"/>
      <c r="V2" s="45"/>
      <c r="W2" s="45"/>
      <c r="X2" s="45"/>
      <c r="Y2" s="45"/>
      <c r="Z2" s="45"/>
    </row>
    <row r="3">
      <c r="A3" s="147" t="s">
        <v>493</v>
      </c>
      <c r="B3" s="45"/>
      <c r="C3" s="147" t="s">
        <v>494</v>
      </c>
      <c r="D3" s="45"/>
      <c r="E3" s="142" t="s">
        <v>495</v>
      </c>
      <c r="F3" s="45"/>
      <c r="G3" s="45" t="s">
        <v>496</v>
      </c>
      <c r="H3" s="45"/>
      <c r="I3" s="45"/>
      <c r="J3" s="45"/>
      <c r="K3" s="45"/>
      <c r="L3" s="45"/>
      <c r="M3" s="45"/>
      <c r="N3" s="45"/>
      <c r="O3" s="45"/>
      <c r="P3" s="45"/>
      <c r="Q3" s="45"/>
      <c r="R3" s="45"/>
      <c r="S3" s="45"/>
      <c r="T3" s="45"/>
      <c r="U3" s="45"/>
      <c r="V3" s="45"/>
      <c r="W3" s="45"/>
      <c r="X3" s="45"/>
      <c r="Y3" s="45"/>
      <c r="Z3" s="45"/>
    </row>
    <row r="4">
      <c r="A4" s="147" t="s">
        <v>497</v>
      </c>
      <c r="B4" s="45"/>
      <c r="C4" s="45" t="s">
        <v>498</v>
      </c>
      <c r="D4" s="45"/>
      <c r="E4" s="147" t="s">
        <v>414</v>
      </c>
      <c r="F4" s="45"/>
      <c r="G4" s="45" t="s">
        <v>499</v>
      </c>
      <c r="H4" s="45"/>
      <c r="I4" s="45"/>
      <c r="J4" s="45"/>
      <c r="K4" s="45"/>
      <c r="L4" s="45"/>
      <c r="M4" s="45"/>
      <c r="N4" s="45"/>
      <c r="O4" s="45"/>
      <c r="P4" s="45"/>
      <c r="Q4" s="45"/>
      <c r="R4" s="45"/>
      <c r="S4" s="45"/>
      <c r="T4" s="45"/>
      <c r="U4" s="45"/>
      <c r="V4" s="45"/>
      <c r="W4" s="45"/>
      <c r="X4" s="45"/>
      <c r="Y4" s="45"/>
      <c r="Z4" s="45"/>
    </row>
    <row r="5">
      <c r="A5" s="147" t="s">
        <v>500</v>
      </c>
      <c r="B5" s="45"/>
      <c r="C5" s="45" t="s">
        <v>501</v>
      </c>
      <c r="D5" s="45"/>
      <c r="E5" s="147" t="s">
        <v>415</v>
      </c>
      <c r="F5" s="45"/>
      <c r="G5" s="147" t="s">
        <v>502</v>
      </c>
      <c r="H5" s="45"/>
      <c r="I5" s="45"/>
      <c r="J5" s="45"/>
      <c r="K5" s="45"/>
      <c r="L5" s="45"/>
      <c r="M5" s="45"/>
      <c r="N5" s="45"/>
      <c r="O5" s="45"/>
      <c r="P5" s="45"/>
      <c r="Q5" s="45"/>
      <c r="R5" s="45"/>
      <c r="S5" s="45"/>
      <c r="T5" s="45"/>
      <c r="U5" s="45"/>
      <c r="V5" s="45"/>
      <c r="W5" s="45"/>
      <c r="X5" s="45"/>
      <c r="Y5" s="45"/>
      <c r="Z5" s="45"/>
    </row>
    <row r="6">
      <c r="A6" s="147" t="s">
        <v>503</v>
      </c>
      <c r="B6" s="45"/>
      <c r="C6" s="45" t="s">
        <v>504</v>
      </c>
      <c r="D6" s="45"/>
      <c r="E6" s="147" t="s">
        <v>416</v>
      </c>
      <c r="F6" s="45"/>
      <c r="G6" s="45" t="s">
        <v>505</v>
      </c>
      <c r="H6" s="45"/>
      <c r="I6" s="45"/>
      <c r="J6" s="45"/>
      <c r="K6" s="45"/>
      <c r="L6" s="45"/>
      <c r="M6" s="45"/>
      <c r="N6" s="45"/>
      <c r="O6" s="45"/>
      <c r="P6" s="45"/>
      <c r="Q6" s="45"/>
      <c r="R6" s="45"/>
      <c r="S6" s="45"/>
      <c r="T6" s="45"/>
      <c r="U6" s="45"/>
      <c r="V6" s="45"/>
      <c r="W6" s="45"/>
      <c r="X6" s="45"/>
      <c r="Y6" s="45"/>
      <c r="Z6" s="45"/>
    </row>
    <row r="7">
      <c r="A7" s="147" t="s">
        <v>506</v>
      </c>
      <c r="B7" s="45"/>
      <c r="C7" s="45" t="s">
        <v>507</v>
      </c>
      <c r="D7" s="45"/>
      <c r="E7" s="147" t="s">
        <v>508</v>
      </c>
      <c r="F7" s="45"/>
      <c r="G7" s="45"/>
      <c r="H7" s="45"/>
      <c r="I7" s="45"/>
      <c r="J7" s="45"/>
      <c r="K7" s="45"/>
      <c r="L7" s="45"/>
      <c r="M7" s="45"/>
      <c r="N7" s="45"/>
      <c r="O7" s="45"/>
      <c r="P7" s="45"/>
      <c r="Q7" s="45"/>
      <c r="R7" s="45"/>
      <c r="S7" s="45"/>
      <c r="T7" s="45"/>
      <c r="U7" s="45"/>
      <c r="V7" s="45"/>
      <c r="W7" s="45"/>
      <c r="X7" s="45"/>
      <c r="Y7" s="45"/>
      <c r="Z7" s="45"/>
    </row>
    <row r="8">
      <c r="A8" s="157" t="s">
        <v>487</v>
      </c>
      <c r="B8" s="45"/>
      <c r="C8" s="147" t="s">
        <v>509</v>
      </c>
      <c r="D8" s="45"/>
      <c r="E8" s="147" t="s">
        <v>510</v>
      </c>
      <c r="F8" s="45"/>
      <c r="G8" s="45" t="s">
        <v>511</v>
      </c>
      <c r="H8" s="45"/>
      <c r="I8" s="45"/>
      <c r="J8" s="45"/>
      <c r="K8" s="45"/>
      <c r="L8" s="45"/>
      <c r="M8" s="45"/>
      <c r="N8" s="45"/>
      <c r="O8" s="45"/>
      <c r="P8" s="45"/>
      <c r="Q8" s="45"/>
      <c r="R8" s="45"/>
      <c r="S8" s="45"/>
      <c r="T8" s="45"/>
      <c r="U8" s="45"/>
      <c r="V8" s="45"/>
      <c r="W8" s="45"/>
      <c r="X8" s="45"/>
      <c r="Y8" s="45"/>
      <c r="Z8" s="45"/>
    </row>
    <row r="9">
      <c r="B9" s="45"/>
      <c r="C9" s="45" t="s">
        <v>512</v>
      </c>
      <c r="D9" s="45"/>
      <c r="E9" s="147" t="s">
        <v>418</v>
      </c>
      <c r="F9" s="45"/>
      <c r="G9" s="45"/>
      <c r="H9" s="45"/>
      <c r="I9" s="45"/>
      <c r="J9" s="45"/>
      <c r="K9" s="45"/>
      <c r="L9" s="45"/>
      <c r="M9" s="45"/>
      <c r="N9" s="45"/>
      <c r="O9" s="45"/>
      <c r="P9" s="45"/>
      <c r="Q9" s="45"/>
      <c r="R9" s="45"/>
      <c r="S9" s="45"/>
      <c r="T9" s="45"/>
      <c r="U9" s="45"/>
      <c r="V9" s="45"/>
      <c r="W9" s="45"/>
      <c r="X9" s="45"/>
      <c r="Y9" s="45"/>
      <c r="Z9" s="45"/>
    </row>
    <row r="10">
      <c r="B10" s="45"/>
      <c r="C10" s="45"/>
      <c r="D10" s="45"/>
      <c r="E10" s="147" t="s">
        <v>419</v>
      </c>
      <c r="F10" s="45"/>
      <c r="G10" s="45" t="s">
        <v>513</v>
      </c>
      <c r="H10" s="45"/>
      <c r="I10" s="45"/>
      <c r="J10" s="45"/>
      <c r="K10" s="45"/>
      <c r="L10" s="45"/>
      <c r="M10" s="45"/>
      <c r="N10" s="45"/>
      <c r="O10" s="45"/>
      <c r="P10" s="45"/>
      <c r="Q10" s="45"/>
      <c r="R10" s="45"/>
      <c r="S10" s="45"/>
      <c r="T10" s="45"/>
      <c r="U10" s="45"/>
      <c r="V10" s="45"/>
      <c r="W10" s="45"/>
      <c r="X10" s="45"/>
      <c r="Y10" s="45"/>
      <c r="Z10" s="45"/>
    </row>
    <row r="11">
      <c r="A11" s="146" t="s">
        <v>514</v>
      </c>
      <c r="B11" s="45"/>
      <c r="C11" s="146" t="s">
        <v>515</v>
      </c>
      <c r="D11" s="45"/>
      <c r="E11" s="45" t="s">
        <v>516</v>
      </c>
      <c r="F11" s="45"/>
      <c r="G11" s="45" t="s">
        <v>517</v>
      </c>
      <c r="H11" s="45"/>
      <c r="I11" s="45"/>
      <c r="J11" s="45"/>
      <c r="K11" s="45"/>
      <c r="L11" s="45"/>
      <c r="M11" s="45"/>
      <c r="N11" s="45"/>
      <c r="O11" s="45"/>
      <c r="P11" s="45"/>
      <c r="Q11" s="45"/>
      <c r="R11" s="45"/>
      <c r="S11" s="45"/>
      <c r="T11" s="45"/>
      <c r="U11" s="45"/>
      <c r="V11" s="45"/>
      <c r="W11" s="45"/>
      <c r="X11" s="45"/>
      <c r="Y11" s="45"/>
      <c r="Z11" s="45"/>
    </row>
    <row r="12">
      <c r="A12" s="158" t="s">
        <v>518</v>
      </c>
      <c r="B12" s="45"/>
      <c r="C12" s="45" t="s">
        <v>519</v>
      </c>
      <c r="D12" s="45"/>
      <c r="E12" s="147" t="s">
        <v>421</v>
      </c>
      <c r="F12" s="45"/>
      <c r="G12" s="45" t="s">
        <v>520</v>
      </c>
      <c r="H12" s="45"/>
      <c r="I12" s="45"/>
      <c r="J12" s="45"/>
      <c r="K12" s="45"/>
      <c r="L12" s="45"/>
      <c r="M12" s="45"/>
      <c r="N12" s="45"/>
      <c r="O12" s="45"/>
      <c r="P12" s="45"/>
      <c r="Q12" s="45"/>
      <c r="R12" s="45"/>
      <c r="S12" s="45"/>
      <c r="T12" s="45"/>
      <c r="U12" s="45"/>
      <c r="V12" s="45"/>
      <c r="W12" s="45"/>
      <c r="X12" s="45"/>
      <c r="Y12" s="45"/>
      <c r="Z12" s="45"/>
    </row>
    <row r="13">
      <c r="A13" s="158" t="s">
        <v>521</v>
      </c>
      <c r="B13" s="45"/>
      <c r="C13" s="45" t="s">
        <v>489</v>
      </c>
      <c r="D13" s="45"/>
      <c r="E13" s="159" t="s">
        <v>422</v>
      </c>
      <c r="F13" s="45"/>
      <c r="G13" s="45" t="s">
        <v>522</v>
      </c>
      <c r="H13" s="45"/>
      <c r="I13" s="45"/>
      <c r="J13" s="45"/>
      <c r="K13" s="45"/>
      <c r="L13" s="45"/>
      <c r="M13" s="45"/>
      <c r="N13" s="45"/>
      <c r="O13" s="45"/>
      <c r="P13" s="45"/>
      <c r="Q13" s="45"/>
      <c r="R13" s="45"/>
      <c r="S13" s="45"/>
      <c r="T13" s="45"/>
      <c r="U13" s="45"/>
      <c r="V13" s="45"/>
      <c r="W13" s="45"/>
      <c r="X13" s="45"/>
      <c r="Y13" s="45"/>
      <c r="Z13" s="45"/>
    </row>
    <row r="14">
      <c r="A14" s="158" t="s">
        <v>523</v>
      </c>
      <c r="B14" s="45"/>
      <c r="C14" s="45" t="s">
        <v>524</v>
      </c>
      <c r="D14" s="45"/>
      <c r="E14" s="147" t="s">
        <v>423</v>
      </c>
      <c r="F14" s="45"/>
      <c r="G14" s="45" t="s">
        <v>525</v>
      </c>
      <c r="H14" s="45"/>
      <c r="I14" s="45"/>
      <c r="J14" s="45"/>
      <c r="K14" s="45"/>
      <c r="L14" s="45"/>
      <c r="M14" s="45"/>
      <c r="N14" s="45"/>
      <c r="O14" s="45"/>
      <c r="P14" s="45"/>
      <c r="Q14" s="45"/>
      <c r="R14" s="45"/>
      <c r="S14" s="45"/>
      <c r="T14" s="45"/>
      <c r="U14" s="45"/>
      <c r="V14" s="45"/>
      <c r="W14" s="45"/>
      <c r="X14" s="45"/>
      <c r="Y14" s="45"/>
      <c r="Z14" s="45"/>
    </row>
    <row r="15">
      <c r="A15" s="146" t="s">
        <v>526</v>
      </c>
      <c r="B15" s="45"/>
      <c r="C15" s="45" t="s">
        <v>497</v>
      </c>
      <c r="D15" s="45"/>
      <c r="E15" s="147" t="s">
        <v>424</v>
      </c>
      <c r="F15" s="45"/>
      <c r="G15" s="45" t="s">
        <v>527</v>
      </c>
      <c r="H15" s="45"/>
      <c r="I15" s="45"/>
      <c r="J15" s="45"/>
      <c r="K15" s="45"/>
      <c r="L15" s="45"/>
      <c r="M15" s="45"/>
      <c r="N15" s="45"/>
      <c r="O15" s="45"/>
      <c r="P15" s="45"/>
      <c r="Q15" s="45"/>
      <c r="R15" s="45"/>
      <c r="S15" s="45"/>
      <c r="T15" s="45"/>
      <c r="U15" s="45"/>
      <c r="V15" s="45"/>
      <c r="W15" s="45"/>
      <c r="X15" s="45"/>
      <c r="Y15" s="45"/>
      <c r="Z15" s="45"/>
    </row>
    <row r="16">
      <c r="A16" s="45" t="s">
        <v>528</v>
      </c>
      <c r="B16" s="45"/>
      <c r="C16" s="45" t="s">
        <v>504</v>
      </c>
      <c r="E16" s="160" t="s">
        <v>529</v>
      </c>
      <c r="F16" s="45"/>
      <c r="G16" s="147" t="s">
        <v>530</v>
      </c>
      <c r="H16" s="45"/>
      <c r="I16" s="45"/>
      <c r="J16" s="45"/>
      <c r="K16" s="45"/>
      <c r="L16" s="45"/>
      <c r="M16" s="45"/>
      <c r="N16" s="45"/>
      <c r="O16" s="45"/>
      <c r="P16" s="45"/>
      <c r="Q16" s="45"/>
      <c r="R16" s="45"/>
      <c r="S16" s="45"/>
      <c r="T16" s="45"/>
      <c r="U16" s="45"/>
      <c r="V16" s="45"/>
      <c r="W16" s="45"/>
      <c r="X16" s="45"/>
      <c r="Y16" s="45"/>
      <c r="Z16" s="45"/>
    </row>
    <row r="17">
      <c r="A17" s="45" t="s">
        <v>498</v>
      </c>
      <c r="B17" s="45"/>
      <c r="C17" s="147" t="s">
        <v>531</v>
      </c>
      <c r="D17" s="45"/>
      <c r="E17" s="45" t="s">
        <v>494</v>
      </c>
      <c r="F17" s="45"/>
      <c r="G17" s="45"/>
      <c r="H17" s="45"/>
      <c r="I17" s="45"/>
      <c r="J17" s="45"/>
      <c r="K17" s="45"/>
      <c r="L17" s="45"/>
      <c r="M17" s="45"/>
      <c r="N17" s="45"/>
      <c r="O17" s="45"/>
      <c r="P17" s="45"/>
      <c r="Q17" s="45"/>
      <c r="R17" s="45"/>
      <c r="S17" s="45"/>
      <c r="T17" s="45"/>
      <c r="U17" s="45"/>
      <c r="V17" s="45"/>
      <c r="W17" s="45"/>
      <c r="X17" s="45"/>
      <c r="Y17" s="45"/>
      <c r="Z17" s="45"/>
    </row>
    <row r="18">
      <c r="A18" s="45" t="s">
        <v>532</v>
      </c>
      <c r="B18" s="45"/>
      <c r="C18" s="45" t="s">
        <v>533</v>
      </c>
      <c r="D18" s="45"/>
      <c r="E18" s="45" t="s">
        <v>498</v>
      </c>
      <c r="F18" s="45"/>
      <c r="G18" s="45"/>
      <c r="H18" s="45"/>
      <c r="I18" s="45"/>
      <c r="J18" s="45"/>
      <c r="K18" s="45"/>
      <c r="L18" s="45"/>
      <c r="M18" s="45"/>
      <c r="N18" s="45"/>
      <c r="O18" s="45"/>
      <c r="P18" s="45"/>
      <c r="Q18" s="45"/>
      <c r="R18" s="45"/>
      <c r="S18" s="45"/>
      <c r="T18" s="45"/>
      <c r="U18" s="45"/>
      <c r="V18" s="45"/>
      <c r="W18" s="45"/>
      <c r="X18" s="45"/>
      <c r="Y18" s="45"/>
      <c r="Z18" s="45"/>
    </row>
    <row r="19">
      <c r="A19" s="45" t="s">
        <v>534</v>
      </c>
      <c r="B19" s="45"/>
      <c r="C19" s="147" t="s">
        <v>535</v>
      </c>
      <c r="D19" s="45"/>
      <c r="E19" s="45" t="s">
        <v>501</v>
      </c>
      <c r="F19" s="45"/>
      <c r="G19" s="45"/>
      <c r="H19" s="45"/>
      <c r="I19" s="45"/>
      <c r="J19" s="45"/>
      <c r="K19" s="45"/>
      <c r="L19" s="45"/>
      <c r="M19" s="45"/>
      <c r="N19" s="45"/>
      <c r="O19" s="45"/>
      <c r="P19" s="45"/>
      <c r="Q19" s="45"/>
      <c r="R19" s="45"/>
      <c r="S19" s="45"/>
      <c r="T19" s="45"/>
      <c r="U19" s="45"/>
      <c r="V19" s="45"/>
      <c r="W19" s="45"/>
      <c r="X19" s="45"/>
      <c r="Y19" s="45"/>
      <c r="Z19" s="45"/>
    </row>
    <row r="20">
      <c r="A20" s="45" t="s">
        <v>536</v>
      </c>
      <c r="B20" s="45"/>
      <c r="C20" s="147" t="s">
        <v>537</v>
      </c>
      <c r="D20" s="45"/>
      <c r="E20" s="45" t="s">
        <v>504</v>
      </c>
      <c r="F20" s="45"/>
      <c r="G20" s="45"/>
      <c r="H20" s="45"/>
      <c r="I20" s="45"/>
      <c r="J20" s="45"/>
      <c r="K20" s="45"/>
      <c r="L20" s="45"/>
      <c r="M20" s="45"/>
      <c r="N20" s="45"/>
      <c r="O20" s="45"/>
      <c r="P20" s="45"/>
      <c r="Q20" s="45"/>
      <c r="R20" s="45"/>
      <c r="S20" s="45"/>
      <c r="T20" s="45"/>
      <c r="U20" s="45"/>
      <c r="V20" s="45"/>
      <c r="W20" s="45"/>
      <c r="X20" s="45"/>
      <c r="Y20" s="45"/>
      <c r="Z20" s="45"/>
    </row>
    <row r="21" ht="15.75" customHeight="1">
      <c r="A21" s="45" t="s">
        <v>538</v>
      </c>
      <c r="B21" s="45"/>
      <c r="C21" s="147" t="s">
        <v>539</v>
      </c>
      <c r="D21" s="45"/>
      <c r="E21" s="147" t="s">
        <v>507</v>
      </c>
      <c r="F21" s="45"/>
      <c r="G21" s="45"/>
      <c r="H21" s="45"/>
      <c r="I21" s="45"/>
      <c r="J21" s="45"/>
      <c r="K21" s="45"/>
      <c r="L21" s="45"/>
      <c r="M21" s="45"/>
      <c r="N21" s="45"/>
      <c r="O21" s="45"/>
      <c r="P21" s="45"/>
      <c r="Q21" s="45"/>
      <c r="R21" s="45"/>
      <c r="S21" s="45"/>
      <c r="T21" s="45"/>
      <c r="U21" s="45"/>
      <c r="V21" s="45"/>
      <c r="W21" s="45"/>
      <c r="X21" s="45"/>
      <c r="Y21" s="45"/>
      <c r="Z21" s="45"/>
    </row>
    <row r="22" ht="15.75" customHeight="1">
      <c r="A22" s="147" t="s">
        <v>540</v>
      </c>
      <c r="B22" s="45"/>
      <c r="C22" s="147" t="s">
        <v>541</v>
      </c>
      <c r="D22" s="45"/>
      <c r="E22" s="147" t="s">
        <v>509</v>
      </c>
      <c r="F22" s="45"/>
      <c r="G22" s="45"/>
      <c r="H22" s="45"/>
      <c r="I22" s="45"/>
      <c r="J22" s="45"/>
      <c r="K22" s="45"/>
      <c r="L22" s="45"/>
      <c r="M22" s="45"/>
      <c r="N22" s="45"/>
      <c r="O22" s="45"/>
      <c r="P22" s="45"/>
      <c r="Q22" s="45"/>
      <c r="R22" s="45"/>
      <c r="S22" s="45"/>
      <c r="T22" s="45"/>
      <c r="U22" s="45"/>
      <c r="V22" s="45"/>
      <c r="W22" s="45"/>
      <c r="X22" s="45"/>
      <c r="Y22" s="45"/>
      <c r="Z22" s="45"/>
    </row>
    <row r="23" ht="15.75" customHeight="1">
      <c r="A23" s="45"/>
      <c r="B23" s="45"/>
      <c r="C23" s="147" t="s">
        <v>542</v>
      </c>
      <c r="D23" s="45"/>
      <c r="E23" s="45" t="s">
        <v>512</v>
      </c>
      <c r="F23" s="45"/>
      <c r="G23" s="45"/>
      <c r="H23" s="45"/>
      <c r="I23" s="45"/>
      <c r="J23" s="45"/>
      <c r="K23" s="45"/>
      <c r="L23" s="45"/>
      <c r="M23" s="45"/>
      <c r="N23" s="45"/>
      <c r="O23" s="45"/>
      <c r="P23" s="45"/>
      <c r="Q23" s="45"/>
      <c r="R23" s="45"/>
      <c r="S23" s="45"/>
      <c r="T23" s="45"/>
      <c r="U23" s="45"/>
      <c r="V23" s="45"/>
      <c r="W23" s="45"/>
      <c r="X23" s="45"/>
      <c r="Y23" s="45"/>
      <c r="Z23" s="45"/>
    </row>
    <row r="24" ht="15.75" customHeight="1">
      <c r="A24" s="161" t="s">
        <v>543</v>
      </c>
      <c r="B24" s="45"/>
      <c r="C24" s="147" t="s">
        <v>544</v>
      </c>
      <c r="D24" s="45"/>
      <c r="E24" s="146" t="s">
        <v>545</v>
      </c>
      <c r="F24" s="45"/>
      <c r="G24" s="45"/>
      <c r="H24" s="45"/>
      <c r="I24" s="45"/>
      <c r="J24" s="45"/>
      <c r="K24" s="45"/>
      <c r="L24" s="45"/>
      <c r="M24" s="45"/>
      <c r="N24" s="45"/>
      <c r="O24" s="45"/>
      <c r="P24" s="45"/>
      <c r="Q24" s="45"/>
      <c r="R24" s="45"/>
      <c r="S24" s="45"/>
      <c r="T24" s="45"/>
      <c r="U24" s="45"/>
      <c r="V24" s="45"/>
      <c r="W24" s="45"/>
      <c r="X24" s="45"/>
      <c r="Y24" s="45"/>
      <c r="Z24" s="45"/>
    </row>
    <row r="25" ht="15.75" customHeight="1">
      <c r="A25" s="162" t="s">
        <v>546</v>
      </c>
      <c r="B25" s="45"/>
      <c r="C25" s="147" t="s">
        <v>547</v>
      </c>
      <c r="D25" s="45"/>
      <c r="E25" s="147" t="s">
        <v>548</v>
      </c>
      <c r="F25" s="45"/>
      <c r="G25" s="45"/>
      <c r="H25" s="45"/>
      <c r="I25" s="45"/>
      <c r="J25" s="45"/>
      <c r="K25" s="45"/>
      <c r="L25" s="45"/>
      <c r="M25" s="45"/>
      <c r="N25" s="45"/>
      <c r="O25" s="45"/>
      <c r="P25" s="45"/>
      <c r="Q25" s="45"/>
      <c r="R25" s="45"/>
      <c r="S25" s="45"/>
      <c r="T25" s="45"/>
      <c r="U25" s="45"/>
      <c r="V25" s="45"/>
      <c r="W25" s="45"/>
      <c r="X25" s="45"/>
      <c r="Y25" s="45"/>
      <c r="Z25" s="45"/>
    </row>
    <row r="26" ht="15.75" customHeight="1">
      <c r="A26" s="162" t="s">
        <v>549</v>
      </c>
      <c r="B26" s="45"/>
      <c r="C26" s="147" t="s">
        <v>550</v>
      </c>
      <c r="D26" s="45"/>
      <c r="E26" s="45" t="s">
        <v>551</v>
      </c>
      <c r="F26" s="45"/>
      <c r="G26" s="45"/>
      <c r="H26" s="45"/>
      <c r="I26" s="45"/>
      <c r="J26" s="45"/>
      <c r="K26" s="45"/>
      <c r="L26" s="45"/>
      <c r="M26" s="45"/>
      <c r="N26" s="45"/>
      <c r="O26" s="45"/>
      <c r="P26" s="45"/>
      <c r="Q26" s="45"/>
      <c r="R26" s="45"/>
      <c r="S26" s="45"/>
      <c r="T26" s="45"/>
      <c r="U26" s="45"/>
      <c r="V26" s="45"/>
      <c r="W26" s="45"/>
      <c r="X26" s="45"/>
      <c r="Y26" s="45"/>
      <c r="Z26" s="45"/>
    </row>
    <row r="27" ht="15.75" customHeight="1">
      <c r="A27" s="162" t="s">
        <v>552</v>
      </c>
      <c r="B27" s="45"/>
      <c r="D27" s="45"/>
      <c r="E27" s="45" t="s">
        <v>553</v>
      </c>
      <c r="F27" s="45"/>
      <c r="G27" s="45"/>
      <c r="H27" s="45"/>
      <c r="I27" s="45"/>
      <c r="J27" s="45"/>
      <c r="K27" s="45"/>
      <c r="L27" s="45"/>
      <c r="M27" s="45"/>
      <c r="N27" s="45"/>
      <c r="O27" s="45"/>
      <c r="P27" s="45"/>
      <c r="Q27" s="45"/>
      <c r="R27" s="45"/>
      <c r="S27" s="45"/>
      <c r="T27" s="45"/>
      <c r="U27" s="45"/>
      <c r="V27" s="45"/>
      <c r="W27" s="45"/>
      <c r="X27" s="45"/>
      <c r="Y27" s="45"/>
      <c r="Z27" s="45"/>
    </row>
    <row r="28" ht="15.75" customHeight="1">
      <c r="A28" s="162" t="s">
        <v>554</v>
      </c>
      <c r="B28" s="45"/>
      <c r="D28" s="45"/>
      <c r="E28" s="45" t="s">
        <v>555</v>
      </c>
      <c r="F28" s="45"/>
      <c r="G28" s="45"/>
      <c r="H28" s="45"/>
      <c r="I28" s="45"/>
      <c r="J28" s="45"/>
      <c r="K28" s="45"/>
      <c r="L28" s="45"/>
      <c r="M28" s="45"/>
      <c r="N28" s="45"/>
      <c r="O28" s="45"/>
      <c r="P28" s="45"/>
      <c r="Q28" s="45"/>
      <c r="R28" s="45"/>
      <c r="S28" s="45"/>
      <c r="T28" s="45"/>
      <c r="U28" s="45"/>
      <c r="V28" s="45"/>
      <c r="W28" s="45"/>
      <c r="X28" s="45"/>
      <c r="Y28" s="45"/>
      <c r="Z28" s="45"/>
    </row>
    <row r="29" ht="15.75" customHeight="1">
      <c r="A29" s="147" t="s">
        <v>556</v>
      </c>
      <c r="B29" s="45"/>
      <c r="D29" s="45"/>
      <c r="E29" s="45" t="s">
        <v>507</v>
      </c>
      <c r="F29" s="45"/>
      <c r="G29" s="45"/>
      <c r="H29" s="45"/>
      <c r="I29" s="45"/>
      <c r="J29" s="45"/>
      <c r="K29" s="45"/>
      <c r="L29" s="45"/>
      <c r="M29" s="45"/>
      <c r="N29" s="45"/>
      <c r="O29" s="45"/>
      <c r="P29" s="45"/>
      <c r="Q29" s="45"/>
      <c r="R29" s="45"/>
      <c r="S29" s="45"/>
      <c r="T29" s="45"/>
      <c r="U29" s="45"/>
      <c r="V29" s="45"/>
      <c r="W29" s="45"/>
      <c r="X29" s="45"/>
      <c r="Y29" s="45"/>
      <c r="Z29" s="45"/>
    </row>
    <row r="30" ht="15.75" customHeight="1">
      <c r="A30" s="146" t="s">
        <v>557</v>
      </c>
      <c r="B30" s="45"/>
      <c r="C30" s="45"/>
      <c r="D30" s="45"/>
      <c r="E30" s="45" t="s">
        <v>558</v>
      </c>
      <c r="F30" s="45"/>
      <c r="G30" s="45"/>
      <c r="H30" s="45"/>
      <c r="I30" s="45"/>
      <c r="J30" s="45"/>
      <c r="K30" s="45"/>
      <c r="L30" s="45"/>
      <c r="M30" s="45"/>
      <c r="N30" s="45"/>
      <c r="O30" s="45"/>
      <c r="P30" s="45"/>
      <c r="Q30" s="45"/>
      <c r="R30" s="45"/>
      <c r="S30" s="45"/>
      <c r="T30" s="45"/>
      <c r="U30" s="45"/>
      <c r="V30" s="45"/>
      <c r="W30" s="45"/>
      <c r="X30" s="45"/>
      <c r="Y30" s="45"/>
      <c r="Z30" s="45"/>
    </row>
    <row r="31" ht="15.75" customHeight="1">
      <c r="A31" s="147" t="s">
        <v>559</v>
      </c>
      <c r="B31" s="45"/>
      <c r="C31" s="163" t="s">
        <v>560</v>
      </c>
      <c r="D31" s="45"/>
      <c r="E31" s="45" t="s">
        <v>535</v>
      </c>
      <c r="F31" s="45"/>
      <c r="G31" s="45"/>
      <c r="H31" s="45"/>
      <c r="I31" s="45"/>
      <c r="J31" s="45"/>
      <c r="K31" s="45"/>
      <c r="L31" s="45"/>
      <c r="M31" s="45"/>
      <c r="N31" s="45"/>
      <c r="O31" s="45"/>
      <c r="P31" s="45"/>
      <c r="Q31" s="45"/>
      <c r="R31" s="45"/>
      <c r="S31" s="45"/>
      <c r="T31" s="45"/>
      <c r="U31" s="45"/>
      <c r="V31" s="45"/>
      <c r="W31" s="45"/>
      <c r="X31" s="45"/>
      <c r="Y31" s="45"/>
      <c r="Z31" s="45"/>
    </row>
    <row r="32" ht="15.75" customHeight="1">
      <c r="A32" s="147" t="s">
        <v>561</v>
      </c>
      <c r="B32" s="45"/>
      <c r="C32" s="45" t="s">
        <v>562</v>
      </c>
      <c r="D32" s="45"/>
      <c r="E32" s="45" t="s">
        <v>563</v>
      </c>
      <c r="F32" s="45"/>
      <c r="G32" s="45"/>
      <c r="H32" s="45"/>
      <c r="I32" s="45"/>
      <c r="J32" s="45"/>
      <c r="K32" s="45"/>
      <c r="L32" s="45"/>
      <c r="M32" s="45"/>
      <c r="N32" s="45"/>
      <c r="O32" s="45"/>
      <c r="P32" s="45"/>
      <c r="Q32" s="45"/>
      <c r="R32" s="45"/>
      <c r="S32" s="45"/>
      <c r="T32" s="45"/>
      <c r="U32" s="45"/>
      <c r="V32" s="45"/>
      <c r="W32" s="45"/>
      <c r="X32" s="45"/>
      <c r="Y32" s="45"/>
      <c r="Z32" s="45"/>
    </row>
    <row r="33" ht="15.75" customHeight="1">
      <c r="A33" s="147" t="s">
        <v>564</v>
      </c>
      <c r="B33" s="45"/>
      <c r="C33" s="45" t="s">
        <v>565</v>
      </c>
      <c r="D33" s="45"/>
      <c r="E33" s="45" t="s">
        <v>566</v>
      </c>
      <c r="F33" s="45"/>
      <c r="G33" s="45"/>
      <c r="H33" s="45"/>
      <c r="I33" s="45"/>
      <c r="J33" s="45"/>
      <c r="K33" s="45"/>
      <c r="L33" s="45"/>
      <c r="M33" s="45"/>
      <c r="N33" s="45"/>
      <c r="O33" s="45"/>
      <c r="P33" s="45"/>
      <c r="Q33" s="45"/>
      <c r="R33" s="45"/>
      <c r="S33" s="45"/>
      <c r="T33" s="45"/>
      <c r="U33" s="45"/>
      <c r="V33" s="45"/>
      <c r="W33" s="45"/>
      <c r="X33" s="45"/>
      <c r="Y33" s="45"/>
      <c r="Z33" s="45"/>
    </row>
    <row r="34" ht="15.75" customHeight="1">
      <c r="A34" s="147" t="s">
        <v>567</v>
      </c>
      <c r="B34" s="45"/>
      <c r="C34" s="45" t="s">
        <v>568</v>
      </c>
      <c r="D34" s="45"/>
      <c r="E34" s="164" t="s">
        <v>569</v>
      </c>
      <c r="F34" s="45"/>
      <c r="G34" s="45"/>
      <c r="H34" s="45"/>
      <c r="I34" s="45"/>
      <c r="J34" s="45"/>
      <c r="K34" s="45"/>
      <c r="L34" s="45"/>
      <c r="M34" s="45"/>
      <c r="N34" s="45"/>
      <c r="O34" s="45"/>
      <c r="P34" s="45"/>
      <c r="Q34" s="45"/>
      <c r="R34" s="45"/>
      <c r="S34" s="45"/>
      <c r="T34" s="45"/>
      <c r="U34" s="45"/>
      <c r="V34" s="45"/>
      <c r="W34" s="45"/>
      <c r="X34" s="45"/>
      <c r="Y34" s="45"/>
      <c r="Z34" s="45"/>
    </row>
    <row r="35" ht="15.75" customHeight="1">
      <c r="A35" s="147" t="s">
        <v>570</v>
      </c>
      <c r="B35" s="45"/>
      <c r="C35" s="45" t="s">
        <v>571</v>
      </c>
      <c r="D35" s="45"/>
      <c r="E35" s="163" t="s">
        <v>572</v>
      </c>
      <c r="F35" s="45"/>
      <c r="G35" s="45"/>
      <c r="H35" s="45"/>
      <c r="I35" s="45"/>
      <c r="J35" s="45"/>
      <c r="K35" s="45"/>
      <c r="L35" s="45"/>
      <c r="M35" s="45"/>
      <c r="N35" s="45"/>
      <c r="O35" s="45"/>
      <c r="P35" s="45"/>
      <c r="Q35" s="45"/>
      <c r="R35" s="45"/>
      <c r="S35" s="45"/>
      <c r="T35" s="45"/>
      <c r="U35" s="45"/>
      <c r="V35" s="45"/>
      <c r="W35" s="45"/>
      <c r="X35" s="45"/>
      <c r="Y35" s="45"/>
      <c r="Z35" s="45"/>
    </row>
    <row r="36" ht="15.75" customHeight="1">
      <c r="A36" s="147" t="s">
        <v>573</v>
      </c>
      <c r="B36" s="45"/>
      <c r="C36" s="45" t="s">
        <v>574</v>
      </c>
      <c r="D36" s="45"/>
      <c r="E36" s="142" t="s">
        <v>495</v>
      </c>
      <c r="F36" s="45"/>
      <c r="G36" s="45"/>
      <c r="H36" s="45"/>
      <c r="I36" s="45"/>
      <c r="J36" s="45"/>
      <c r="K36" s="45"/>
      <c r="L36" s="45"/>
      <c r="M36" s="45"/>
      <c r="N36" s="45"/>
      <c r="O36" s="45"/>
      <c r="P36" s="45"/>
      <c r="Q36" s="45"/>
      <c r="R36" s="45"/>
      <c r="S36" s="45"/>
      <c r="T36" s="45"/>
      <c r="U36" s="45"/>
      <c r="V36" s="45"/>
      <c r="W36" s="45"/>
      <c r="X36" s="45"/>
      <c r="Y36" s="45"/>
      <c r="Z36" s="45"/>
    </row>
    <row r="37" ht="15.75" customHeight="1">
      <c r="A37" s="147" t="s">
        <v>575</v>
      </c>
      <c r="B37" s="45"/>
      <c r="C37" s="45" t="s">
        <v>576</v>
      </c>
      <c r="D37" s="45"/>
      <c r="E37" s="147" t="s">
        <v>414</v>
      </c>
      <c r="F37" s="45"/>
      <c r="G37" s="45"/>
      <c r="H37" s="45"/>
      <c r="I37" s="45"/>
      <c r="J37" s="45"/>
      <c r="K37" s="45"/>
      <c r="L37" s="45"/>
      <c r="M37" s="45"/>
      <c r="N37" s="45"/>
      <c r="O37" s="45"/>
      <c r="P37" s="45"/>
      <c r="Q37" s="45"/>
      <c r="R37" s="45"/>
      <c r="S37" s="45"/>
      <c r="T37" s="45"/>
      <c r="U37" s="45"/>
      <c r="V37" s="45"/>
      <c r="W37" s="45"/>
      <c r="X37" s="45"/>
      <c r="Y37" s="45"/>
      <c r="Z37" s="45"/>
    </row>
    <row r="38" ht="15.75" customHeight="1">
      <c r="A38" s="147" t="s">
        <v>577</v>
      </c>
      <c r="B38" s="45"/>
      <c r="C38" s="147" t="s">
        <v>578</v>
      </c>
      <c r="D38" s="45"/>
      <c r="E38" s="147" t="s">
        <v>415</v>
      </c>
      <c r="F38" s="45"/>
      <c r="G38" s="45"/>
      <c r="H38" s="45"/>
      <c r="I38" s="45"/>
      <c r="J38" s="45"/>
      <c r="K38" s="45"/>
      <c r="L38" s="45"/>
      <c r="M38" s="45"/>
      <c r="N38" s="45"/>
      <c r="O38" s="45"/>
      <c r="P38" s="45"/>
      <c r="Q38" s="45"/>
      <c r="R38" s="45"/>
      <c r="S38" s="45"/>
      <c r="T38" s="45"/>
      <c r="U38" s="45"/>
      <c r="V38" s="45"/>
      <c r="W38" s="45"/>
      <c r="X38" s="45"/>
      <c r="Y38" s="45"/>
      <c r="Z38" s="45"/>
    </row>
    <row r="39" ht="15.75" customHeight="1">
      <c r="A39" s="147" t="s">
        <v>579</v>
      </c>
      <c r="B39" s="45"/>
      <c r="C39" s="45" t="s">
        <v>580</v>
      </c>
      <c r="D39" s="45"/>
      <c r="E39" s="147" t="s">
        <v>416</v>
      </c>
      <c r="F39" s="45"/>
      <c r="G39" s="45"/>
      <c r="H39" s="45"/>
      <c r="I39" s="45"/>
      <c r="J39" s="45"/>
      <c r="K39" s="45"/>
      <c r="L39" s="45"/>
      <c r="M39" s="45"/>
      <c r="N39" s="45"/>
      <c r="O39" s="45"/>
      <c r="P39" s="45"/>
      <c r="Q39" s="45"/>
      <c r="R39" s="45"/>
      <c r="S39" s="45"/>
      <c r="T39" s="45"/>
      <c r="U39" s="45"/>
      <c r="V39" s="45"/>
      <c r="W39" s="45"/>
      <c r="X39" s="45"/>
      <c r="Y39" s="45"/>
      <c r="Z39" s="45"/>
    </row>
    <row r="40" ht="15.75" customHeight="1">
      <c r="A40" s="147" t="s">
        <v>581</v>
      </c>
      <c r="B40" s="45"/>
      <c r="C40" s="45" t="s">
        <v>582</v>
      </c>
      <c r="D40" s="45"/>
      <c r="E40" s="147" t="s">
        <v>508</v>
      </c>
      <c r="F40" s="45"/>
      <c r="G40" s="45"/>
      <c r="H40" s="45"/>
      <c r="I40" s="45"/>
      <c r="J40" s="45"/>
      <c r="K40" s="45"/>
      <c r="L40" s="45"/>
      <c r="M40" s="45"/>
      <c r="N40" s="45"/>
      <c r="O40" s="45"/>
      <c r="P40" s="45"/>
      <c r="Q40" s="45"/>
      <c r="R40" s="45"/>
      <c r="S40" s="45"/>
      <c r="T40" s="45"/>
      <c r="U40" s="45"/>
      <c r="V40" s="45"/>
      <c r="W40" s="45"/>
      <c r="X40" s="45"/>
      <c r="Y40" s="45"/>
      <c r="Z40" s="45"/>
    </row>
    <row r="41" ht="15.75" customHeight="1">
      <c r="A41" s="147"/>
      <c r="B41" s="45"/>
      <c r="C41" s="45" t="s">
        <v>583</v>
      </c>
      <c r="D41" s="45"/>
      <c r="E41" s="45" t="s">
        <v>510</v>
      </c>
      <c r="F41" s="45"/>
      <c r="G41" s="45"/>
      <c r="H41" s="45"/>
      <c r="I41" s="45"/>
      <c r="J41" s="45"/>
      <c r="K41" s="45"/>
      <c r="L41" s="45"/>
      <c r="M41" s="45"/>
      <c r="N41" s="45"/>
      <c r="O41" s="45"/>
      <c r="P41" s="45"/>
      <c r="Q41" s="45"/>
      <c r="R41" s="45"/>
      <c r="S41" s="45"/>
      <c r="T41" s="45"/>
      <c r="U41" s="45"/>
      <c r="V41" s="45"/>
      <c r="W41" s="45"/>
      <c r="X41" s="45"/>
      <c r="Y41" s="45"/>
      <c r="Z41" s="45"/>
    </row>
    <row r="42" ht="15.75" customHeight="1">
      <c r="A42" s="146" t="s">
        <v>584</v>
      </c>
      <c r="B42" s="45"/>
      <c r="C42" s="45" t="s">
        <v>585</v>
      </c>
      <c r="D42" s="45"/>
      <c r="E42" s="147" t="s">
        <v>586</v>
      </c>
      <c r="F42" s="45"/>
      <c r="G42" s="45"/>
      <c r="H42" s="45"/>
      <c r="I42" s="45"/>
      <c r="J42" s="45"/>
      <c r="K42" s="45"/>
      <c r="L42" s="45"/>
      <c r="M42" s="45"/>
      <c r="N42" s="45"/>
      <c r="O42" s="45"/>
      <c r="P42" s="45"/>
      <c r="Q42" s="45"/>
      <c r="R42" s="45"/>
      <c r="S42" s="45"/>
      <c r="T42" s="45"/>
      <c r="U42" s="45"/>
      <c r="V42" s="45"/>
      <c r="W42" s="45"/>
      <c r="X42" s="45"/>
      <c r="Y42" s="45"/>
      <c r="Z42" s="45"/>
    </row>
    <row r="43" ht="15.75" customHeight="1">
      <c r="A43" s="45" t="s">
        <v>587</v>
      </c>
      <c r="B43" s="45"/>
      <c r="C43" s="45" t="s">
        <v>588</v>
      </c>
      <c r="D43" s="45"/>
      <c r="E43" s="147" t="s">
        <v>419</v>
      </c>
      <c r="F43" s="45"/>
      <c r="G43" s="45"/>
      <c r="H43" s="45"/>
      <c r="I43" s="45"/>
      <c r="J43" s="45"/>
      <c r="K43" s="45"/>
      <c r="L43" s="45"/>
      <c r="M43" s="45"/>
      <c r="N43" s="45"/>
      <c r="O43" s="45"/>
      <c r="P43" s="45"/>
      <c r="Q43" s="45"/>
      <c r="R43" s="45"/>
      <c r="S43" s="45"/>
      <c r="T43" s="45"/>
      <c r="U43" s="45"/>
      <c r="V43" s="45"/>
      <c r="W43" s="45"/>
      <c r="X43" s="45"/>
      <c r="Y43" s="45"/>
      <c r="Z43" s="45"/>
    </row>
    <row r="44" ht="15.75" customHeight="1">
      <c r="A44" s="45" t="s">
        <v>494</v>
      </c>
      <c r="B44" s="45"/>
      <c r="C44" s="45" t="s">
        <v>589</v>
      </c>
      <c r="D44" s="45"/>
      <c r="E44" s="45" t="s">
        <v>516</v>
      </c>
      <c r="F44" s="45"/>
      <c r="G44" s="45"/>
      <c r="H44" s="45"/>
      <c r="I44" s="45"/>
      <c r="J44" s="45"/>
      <c r="K44" s="45"/>
      <c r="L44" s="45"/>
      <c r="M44" s="45"/>
      <c r="N44" s="45"/>
      <c r="O44" s="45"/>
      <c r="P44" s="45"/>
      <c r="Q44" s="45"/>
      <c r="R44" s="45"/>
      <c r="S44" s="45"/>
      <c r="T44" s="45"/>
      <c r="U44" s="45"/>
      <c r="V44" s="45"/>
      <c r="W44" s="45"/>
      <c r="X44" s="45"/>
      <c r="Y44" s="45"/>
      <c r="Z44" s="45"/>
    </row>
    <row r="45" ht="15.75" customHeight="1">
      <c r="A45" s="45" t="s">
        <v>498</v>
      </c>
      <c r="B45" s="45"/>
      <c r="C45" s="45" t="s">
        <v>590</v>
      </c>
      <c r="D45" s="45"/>
      <c r="E45" s="147" t="s">
        <v>591</v>
      </c>
      <c r="F45" s="45"/>
      <c r="G45" s="45"/>
      <c r="H45" s="45"/>
      <c r="I45" s="45"/>
      <c r="J45" s="45"/>
      <c r="K45" s="45"/>
      <c r="L45" s="45"/>
      <c r="M45" s="45"/>
      <c r="N45" s="45"/>
      <c r="O45" s="45"/>
      <c r="P45" s="45"/>
      <c r="Q45" s="45"/>
      <c r="R45" s="45"/>
      <c r="S45" s="45"/>
      <c r="T45" s="45"/>
      <c r="U45" s="45"/>
      <c r="V45" s="45"/>
      <c r="W45" s="45"/>
      <c r="X45" s="45"/>
      <c r="Y45" s="45"/>
      <c r="Z45" s="45"/>
    </row>
    <row r="46" ht="15.75" customHeight="1">
      <c r="A46" s="147" t="s">
        <v>592</v>
      </c>
      <c r="B46" s="45"/>
      <c r="C46" s="45" t="s">
        <v>593</v>
      </c>
      <c r="D46" s="45"/>
      <c r="E46" s="159" t="s">
        <v>594</v>
      </c>
      <c r="F46" s="45"/>
      <c r="G46" s="45"/>
      <c r="H46" s="45"/>
      <c r="I46" s="45"/>
      <c r="J46" s="45"/>
      <c r="K46" s="45"/>
      <c r="L46" s="45"/>
      <c r="M46" s="45"/>
      <c r="N46" s="45"/>
      <c r="O46" s="45"/>
      <c r="P46" s="45"/>
      <c r="Q46" s="45"/>
      <c r="R46" s="45"/>
      <c r="S46" s="45"/>
      <c r="T46" s="45"/>
      <c r="U46" s="45"/>
      <c r="V46" s="45"/>
      <c r="W46" s="45"/>
      <c r="X46" s="45"/>
      <c r="Y46" s="45"/>
      <c r="Z46" s="45"/>
    </row>
    <row r="47" ht="15.75" customHeight="1">
      <c r="A47" s="147" t="s">
        <v>595</v>
      </c>
      <c r="B47" s="45"/>
      <c r="C47" s="45" t="s">
        <v>596</v>
      </c>
      <c r="D47" s="45"/>
      <c r="E47" s="147" t="s">
        <v>429</v>
      </c>
      <c r="F47" s="45"/>
      <c r="G47" s="45"/>
      <c r="H47" s="45"/>
      <c r="I47" s="45"/>
      <c r="J47" s="45"/>
      <c r="K47" s="45"/>
      <c r="L47" s="45"/>
      <c r="M47" s="45"/>
      <c r="N47" s="45"/>
      <c r="O47" s="45"/>
      <c r="P47" s="45"/>
      <c r="Q47" s="45"/>
      <c r="R47" s="45"/>
      <c r="S47" s="45"/>
      <c r="T47" s="45"/>
      <c r="U47" s="45"/>
      <c r="V47" s="45"/>
      <c r="W47" s="45"/>
      <c r="X47" s="45"/>
      <c r="Y47" s="45"/>
      <c r="Z47" s="45"/>
    </row>
    <row r="48" ht="15.75" customHeight="1">
      <c r="A48" s="147" t="s">
        <v>597</v>
      </c>
      <c r="B48" s="45"/>
      <c r="C48" s="147" t="s">
        <v>598</v>
      </c>
      <c r="D48" s="45"/>
      <c r="E48" s="147" t="s">
        <v>424</v>
      </c>
      <c r="F48" s="45"/>
      <c r="G48" s="45"/>
      <c r="H48" s="45"/>
      <c r="I48" s="45"/>
      <c r="J48" s="45"/>
      <c r="K48" s="45"/>
      <c r="L48" s="45"/>
      <c r="M48" s="45"/>
      <c r="N48" s="45"/>
      <c r="O48" s="45"/>
      <c r="P48" s="45"/>
      <c r="Q48" s="45"/>
      <c r="R48" s="45"/>
      <c r="S48" s="45"/>
      <c r="T48" s="45"/>
      <c r="U48" s="45"/>
      <c r="V48" s="45"/>
      <c r="W48" s="45"/>
      <c r="X48" s="45"/>
      <c r="Y48" s="45"/>
      <c r="Z48" s="45"/>
    </row>
    <row r="49" ht="15.75" customHeight="1">
      <c r="A49" s="147" t="s">
        <v>599</v>
      </c>
      <c r="B49" s="45"/>
      <c r="C49" s="45" t="s">
        <v>600</v>
      </c>
      <c r="D49" s="45"/>
      <c r="E49" s="163" t="s">
        <v>601</v>
      </c>
      <c r="F49" s="45"/>
      <c r="G49" s="45"/>
      <c r="H49" s="45"/>
      <c r="I49" s="45"/>
      <c r="J49" s="45"/>
      <c r="K49" s="45"/>
      <c r="L49" s="45"/>
      <c r="M49" s="45"/>
      <c r="N49" s="45"/>
      <c r="O49" s="45"/>
      <c r="P49" s="45"/>
      <c r="Q49" s="45"/>
      <c r="R49" s="45"/>
      <c r="S49" s="45"/>
      <c r="T49" s="45"/>
      <c r="U49" s="45"/>
      <c r="V49" s="45"/>
      <c r="W49" s="45"/>
      <c r="X49" s="45"/>
      <c r="Y49" s="45"/>
      <c r="Z49" s="45"/>
    </row>
    <row r="50" ht="15.75" customHeight="1">
      <c r="A50" s="45" t="s">
        <v>602</v>
      </c>
      <c r="B50" s="45"/>
      <c r="C50" s="45"/>
      <c r="D50" s="45"/>
      <c r="E50" s="147" t="s">
        <v>603</v>
      </c>
      <c r="F50" s="45"/>
      <c r="G50" s="45"/>
      <c r="H50" s="45"/>
      <c r="I50" s="45"/>
      <c r="J50" s="45"/>
      <c r="K50" s="45"/>
      <c r="L50" s="45"/>
      <c r="M50" s="45"/>
      <c r="N50" s="45"/>
      <c r="O50" s="45"/>
      <c r="P50" s="45"/>
      <c r="Q50" s="45"/>
      <c r="R50" s="45"/>
      <c r="S50" s="45"/>
      <c r="T50" s="45"/>
      <c r="U50" s="45"/>
      <c r="V50" s="45"/>
      <c r="W50" s="45"/>
      <c r="X50" s="45"/>
      <c r="Y50" s="45"/>
      <c r="Z50" s="45"/>
    </row>
    <row r="51" ht="15.75" customHeight="1">
      <c r="A51" s="147" t="s">
        <v>604</v>
      </c>
      <c r="B51" s="45"/>
      <c r="C51" s="45" t="s">
        <v>605</v>
      </c>
      <c r="D51" s="45"/>
      <c r="E51" s="147" t="s">
        <v>606</v>
      </c>
      <c r="F51" s="45"/>
      <c r="G51" s="45"/>
      <c r="H51" s="45"/>
      <c r="I51" s="45"/>
      <c r="J51" s="45"/>
      <c r="K51" s="45"/>
      <c r="L51" s="45"/>
      <c r="M51" s="45"/>
      <c r="N51" s="45"/>
      <c r="O51" s="45"/>
      <c r="P51" s="45"/>
      <c r="Q51" s="45"/>
      <c r="R51" s="45"/>
      <c r="S51" s="45"/>
      <c r="T51" s="45"/>
      <c r="U51" s="45"/>
      <c r="V51" s="45"/>
      <c r="W51" s="45"/>
      <c r="X51" s="45"/>
      <c r="Y51" s="45"/>
      <c r="Z51" s="45"/>
    </row>
    <row r="52" ht="15.75" customHeight="1">
      <c r="A52" s="45"/>
      <c r="B52" s="45"/>
      <c r="C52" s="45" t="s">
        <v>607</v>
      </c>
      <c r="D52" s="45"/>
      <c r="E52" s="45" t="s">
        <v>608</v>
      </c>
      <c r="F52" s="45"/>
      <c r="G52" s="45"/>
      <c r="H52" s="45"/>
      <c r="I52" s="45"/>
      <c r="J52" s="45"/>
      <c r="K52" s="45"/>
      <c r="L52" s="45"/>
      <c r="M52" s="45"/>
      <c r="N52" s="45"/>
      <c r="O52" s="45"/>
      <c r="P52" s="45"/>
      <c r="Q52" s="45"/>
      <c r="R52" s="45"/>
      <c r="S52" s="45"/>
      <c r="T52" s="45"/>
      <c r="U52" s="45"/>
      <c r="V52" s="45"/>
      <c r="W52" s="45"/>
      <c r="X52" s="45"/>
      <c r="Y52" s="45"/>
      <c r="Z52" s="45"/>
    </row>
    <row r="53" ht="15.75" customHeight="1">
      <c r="B53" s="45"/>
      <c r="C53" s="45" t="s">
        <v>609</v>
      </c>
      <c r="D53" s="45"/>
      <c r="E53" s="147" t="s">
        <v>610</v>
      </c>
      <c r="F53" s="45"/>
      <c r="G53" s="45"/>
      <c r="H53" s="45"/>
      <c r="I53" s="45"/>
      <c r="J53" s="45"/>
      <c r="K53" s="45"/>
      <c r="L53" s="45"/>
      <c r="M53" s="45"/>
      <c r="N53" s="45"/>
      <c r="O53" s="45"/>
      <c r="P53" s="45"/>
      <c r="Q53" s="45"/>
      <c r="R53" s="45"/>
      <c r="S53" s="45"/>
      <c r="T53" s="45"/>
      <c r="U53" s="45"/>
      <c r="V53" s="45"/>
      <c r="W53" s="45"/>
      <c r="X53" s="45"/>
      <c r="Y53" s="45"/>
      <c r="Z53" s="45"/>
    </row>
    <row r="54" ht="15.75" customHeight="1">
      <c r="A54" s="146" t="s">
        <v>611</v>
      </c>
      <c r="B54" s="45"/>
      <c r="C54" s="45" t="s">
        <v>612</v>
      </c>
      <c r="D54" s="45"/>
      <c r="E54" s="147" t="s">
        <v>613</v>
      </c>
      <c r="F54" s="45"/>
      <c r="G54" s="45"/>
      <c r="H54" s="45"/>
      <c r="I54" s="45"/>
      <c r="J54" s="45"/>
      <c r="K54" s="45"/>
      <c r="L54" s="45"/>
      <c r="M54" s="45"/>
      <c r="N54" s="45"/>
      <c r="O54" s="45"/>
      <c r="P54" s="45"/>
      <c r="Q54" s="45"/>
      <c r="R54" s="45"/>
      <c r="S54" s="45"/>
      <c r="T54" s="45"/>
      <c r="U54" s="45"/>
      <c r="V54" s="45"/>
      <c r="W54" s="45"/>
      <c r="X54" s="45"/>
      <c r="Y54" s="45"/>
      <c r="Z54" s="45"/>
    </row>
    <row r="55" ht="15.75" customHeight="1">
      <c r="A55" s="16" t="s">
        <v>614</v>
      </c>
      <c r="B55" s="45"/>
      <c r="C55" s="45"/>
      <c r="D55" s="45"/>
      <c r="E55" s="147" t="s">
        <v>615</v>
      </c>
      <c r="F55" s="45"/>
      <c r="G55" s="45"/>
      <c r="H55" s="45"/>
      <c r="I55" s="45"/>
      <c r="J55" s="45"/>
      <c r="K55" s="45"/>
      <c r="L55" s="45"/>
      <c r="M55" s="45"/>
      <c r="N55" s="45"/>
      <c r="O55" s="45"/>
      <c r="P55" s="45"/>
      <c r="Q55" s="45"/>
      <c r="R55" s="45"/>
      <c r="S55" s="45"/>
      <c r="T55" s="45"/>
      <c r="U55" s="45"/>
      <c r="V55" s="45"/>
      <c r="W55" s="45"/>
      <c r="X55" s="45"/>
      <c r="Y55" s="45"/>
      <c r="Z55" s="45"/>
    </row>
    <row r="56" ht="15.75" customHeight="1">
      <c r="A56" s="147" t="s">
        <v>616</v>
      </c>
      <c r="B56" s="45"/>
      <c r="C56" s="45" t="s">
        <v>617</v>
      </c>
      <c r="D56" s="45"/>
      <c r="E56" s="147" t="s">
        <v>618</v>
      </c>
      <c r="F56" s="45"/>
      <c r="G56" s="45"/>
      <c r="H56" s="45"/>
      <c r="I56" s="45"/>
      <c r="J56" s="45"/>
      <c r="K56" s="45"/>
      <c r="L56" s="45"/>
      <c r="M56" s="45"/>
      <c r="N56" s="45"/>
      <c r="O56" s="45"/>
      <c r="P56" s="45"/>
      <c r="Q56" s="45"/>
      <c r="R56" s="45"/>
      <c r="S56" s="45"/>
      <c r="T56" s="45"/>
      <c r="U56" s="45"/>
      <c r="V56" s="45"/>
      <c r="W56" s="45"/>
      <c r="X56" s="45"/>
      <c r="Y56" s="45"/>
      <c r="Z56" s="45"/>
    </row>
    <row r="57" ht="15.75" customHeight="1">
      <c r="A57" s="147" t="s">
        <v>564</v>
      </c>
      <c r="B57" s="45"/>
      <c r="C57" s="45" t="s">
        <v>619</v>
      </c>
      <c r="D57" s="45"/>
      <c r="E57" s="147" t="s">
        <v>620</v>
      </c>
      <c r="F57" s="45"/>
      <c r="G57" s="45"/>
      <c r="H57" s="45"/>
      <c r="I57" s="45"/>
      <c r="J57" s="45"/>
      <c r="K57" s="45"/>
      <c r="L57" s="45"/>
      <c r="M57" s="45"/>
      <c r="N57" s="45"/>
      <c r="O57" s="45"/>
      <c r="P57" s="45"/>
      <c r="Q57" s="45"/>
      <c r="R57" s="45"/>
      <c r="S57" s="45"/>
      <c r="T57" s="45"/>
      <c r="U57" s="45"/>
      <c r="V57" s="45"/>
      <c r="W57" s="45"/>
      <c r="X57" s="45"/>
      <c r="Y57" s="45"/>
      <c r="Z57" s="45"/>
    </row>
    <row r="58" ht="15.75" customHeight="1">
      <c r="A58" s="147" t="s">
        <v>621</v>
      </c>
      <c r="B58" s="45"/>
      <c r="C58" s="45" t="s">
        <v>622</v>
      </c>
      <c r="D58" s="45"/>
      <c r="E58" s="147" t="s">
        <v>623</v>
      </c>
      <c r="F58" s="45"/>
      <c r="G58" s="45"/>
      <c r="H58" s="45"/>
      <c r="I58" s="45"/>
      <c r="J58" s="45"/>
      <c r="K58" s="45"/>
      <c r="L58" s="45"/>
      <c r="M58" s="45"/>
      <c r="N58" s="45"/>
      <c r="O58" s="45"/>
      <c r="P58" s="45"/>
      <c r="Q58" s="45"/>
      <c r="R58" s="45"/>
      <c r="S58" s="45"/>
      <c r="T58" s="45"/>
      <c r="U58" s="45"/>
      <c r="V58" s="45"/>
      <c r="W58" s="45"/>
      <c r="X58" s="45"/>
      <c r="Y58" s="45"/>
      <c r="Z58" s="45"/>
    </row>
    <row r="59" ht="15.75" customHeight="1">
      <c r="A59" s="147" t="s">
        <v>624</v>
      </c>
      <c r="B59" s="45"/>
      <c r="C59" s="45"/>
      <c r="D59" s="45"/>
      <c r="E59" s="147" t="s">
        <v>625</v>
      </c>
      <c r="F59" s="45"/>
      <c r="G59" s="45"/>
      <c r="H59" s="45"/>
      <c r="I59" s="45"/>
      <c r="J59" s="45"/>
      <c r="K59" s="45"/>
      <c r="L59" s="45"/>
      <c r="M59" s="45"/>
      <c r="N59" s="45"/>
      <c r="O59" s="45"/>
      <c r="P59" s="45"/>
      <c r="Q59" s="45"/>
      <c r="R59" s="45"/>
      <c r="S59" s="45"/>
      <c r="T59" s="45"/>
      <c r="U59" s="45"/>
      <c r="V59" s="45"/>
      <c r="W59" s="45"/>
      <c r="X59" s="45"/>
      <c r="Y59" s="45"/>
      <c r="Z59" s="45"/>
    </row>
    <row r="60" ht="15.75" customHeight="1">
      <c r="A60" s="147" t="s">
        <v>626</v>
      </c>
      <c r="B60" s="45"/>
      <c r="C60" s="45" t="s">
        <v>627</v>
      </c>
      <c r="D60" s="45"/>
      <c r="E60" s="147" t="s">
        <v>628</v>
      </c>
      <c r="F60" s="45"/>
      <c r="G60" s="45"/>
      <c r="H60" s="45"/>
      <c r="I60" s="45"/>
      <c r="J60" s="45"/>
      <c r="K60" s="45"/>
      <c r="L60" s="45"/>
      <c r="M60" s="45"/>
      <c r="N60" s="45"/>
      <c r="O60" s="45"/>
      <c r="P60" s="45"/>
      <c r="Q60" s="45"/>
      <c r="R60" s="45"/>
      <c r="S60" s="45"/>
      <c r="T60" s="45"/>
      <c r="U60" s="45"/>
      <c r="V60" s="45"/>
      <c r="W60" s="45"/>
      <c r="X60" s="45"/>
      <c r="Y60" s="45"/>
      <c r="Z60" s="45"/>
    </row>
    <row r="61" ht="15.75" customHeight="1">
      <c r="A61" s="147" t="s">
        <v>629</v>
      </c>
      <c r="B61" s="45"/>
      <c r="C61" s="45"/>
      <c r="D61" s="45"/>
      <c r="E61" s="147" t="s">
        <v>630</v>
      </c>
      <c r="F61" s="45"/>
      <c r="G61" s="45"/>
      <c r="H61" s="45"/>
      <c r="I61" s="45"/>
      <c r="J61" s="45"/>
      <c r="K61" s="45"/>
      <c r="L61" s="45"/>
      <c r="M61" s="45"/>
      <c r="N61" s="45"/>
      <c r="O61" s="45"/>
      <c r="P61" s="45"/>
      <c r="Q61" s="45"/>
      <c r="R61" s="45"/>
      <c r="S61" s="45"/>
      <c r="T61" s="45"/>
      <c r="U61" s="45"/>
      <c r="V61" s="45"/>
      <c r="W61" s="45"/>
      <c r="X61" s="45"/>
      <c r="Y61" s="45"/>
      <c r="Z61" s="45"/>
    </row>
    <row r="62" ht="15.75" customHeight="1">
      <c r="A62" s="147" t="s">
        <v>631</v>
      </c>
      <c r="B62" s="45"/>
      <c r="C62" s="45" t="s">
        <v>632</v>
      </c>
      <c r="D62" s="45"/>
      <c r="E62" s="147" t="s">
        <v>633</v>
      </c>
      <c r="F62" s="45"/>
      <c r="G62" s="45"/>
      <c r="H62" s="45"/>
      <c r="I62" s="45"/>
      <c r="J62" s="45"/>
      <c r="K62" s="45"/>
      <c r="L62" s="45"/>
      <c r="M62" s="45"/>
      <c r="N62" s="45"/>
      <c r="O62" s="45"/>
      <c r="P62" s="45"/>
      <c r="Q62" s="45"/>
      <c r="R62" s="45"/>
      <c r="S62" s="45"/>
      <c r="T62" s="45"/>
      <c r="U62" s="45"/>
      <c r="V62" s="45"/>
      <c r="W62" s="45"/>
      <c r="X62" s="45"/>
      <c r="Y62" s="45"/>
      <c r="Z62" s="45"/>
    </row>
    <row r="63" ht="15.75" customHeight="1">
      <c r="A63" s="147" t="s">
        <v>634</v>
      </c>
      <c r="B63" s="45"/>
      <c r="C63" s="45"/>
      <c r="D63" s="45"/>
      <c r="E63" s="45" t="s">
        <v>635</v>
      </c>
      <c r="F63" s="45"/>
      <c r="G63" s="45"/>
      <c r="H63" s="45"/>
      <c r="I63" s="45"/>
      <c r="J63" s="45"/>
      <c r="K63" s="45"/>
      <c r="L63" s="45"/>
      <c r="M63" s="45"/>
      <c r="N63" s="45"/>
      <c r="O63" s="45"/>
      <c r="P63" s="45"/>
      <c r="Q63" s="45"/>
      <c r="R63" s="45"/>
      <c r="S63" s="45"/>
      <c r="T63" s="45"/>
      <c r="U63" s="45"/>
      <c r="V63" s="45"/>
      <c r="W63" s="45"/>
      <c r="X63" s="45"/>
      <c r="Y63" s="45"/>
      <c r="Z63" s="45"/>
    </row>
    <row r="64" ht="15.75" customHeight="1">
      <c r="A64" s="163" t="s">
        <v>636</v>
      </c>
      <c r="B64" s="45"/>
      <c r="C64" s="45" t="s">
        <v>637</v>
      </c>
      <c r="D64" s="45"/>
      <c r="E64" s="45"/>
      <c r="F64" s="45"/>
      <c r="G64" s="45"/>
      <c r="H64" s="45"/>
      <c r="I64" s="45"/>
      <c r="J64" s="45"/>
      <c r="K64" s="45"/>
      <c r="L64" s="45"/>
      <c r="M64" s="45"/>
      <c r="N64" s="45"/>
      <c r="O64" s="45"/>
      <c r="P64" s="45"/>
      <c r="Q64" s="45"/>
      <c r="R64" s="45"/>
      <c r="S64" s="45"/>
      <c r="T64" s="45"/>
      <c r="U64" s="45"/>
      <c r="V64" s="45"/>
      <c r="W64" s="45"/>
      <c r="X64" s="45"/>
      <c r="Y64" s="45"/>
      <c r="Z64" s="45"/>
    </row>
    <row r="65" ht="15.75" customHeight="1">
      <c r="A65" s="45" t="s">
        <v>489</v>
      </c>
      <c r="B65" s="45"/>
      <c r="C65" s="45" t="s">
        <v>638</v>
      </c>
      <c r="D65" s="45"/>
      <c r="E65" s="146" t="s">
        <v>639</v>
      </c>
      <c r="F65" s="45"/>
      <c r="G65" s="45"/>
      <c r="H65" s="45"/>
      <c r="I65" s="45"/>
      <c r="J65" s="45"/>
      <c r="K65" s="45"/>
      <c r="L65" s="45"/>
      <c r="M65" s="45"/>
      <c r="N65" s="45"/>
      <c r="O65" s="45"/>
      <c r="P65" s="45"/>
      <c r="Q65" s="45"/>
      <c r="R65" s="45"/>
      <c r="S65" s="45"/>
      <c r="T65" s="45"/>
      <c r="U65" s="45"/>
      <c r="V65" s="45"/>
      <c r="W65" s="45"/>
      <c r="X65" s="45"/>
      <c r="Y65" s="45"/>
      <c r="Z65" s="45"/>
    </row>
    <row r="66" ht="15.75" customHeight="1">
      <c r="A66" s="147" t="s">
        <v>524</v>
      </c>
      <c r="B66" s="45"/>
      <c r="C66" s="45"/>
      <c r="D66" s="45"/>
      <c r="E66" s="45" t="s">
        <v>640</v>
      </c>
      <c r="F66" s="45"/>
      <c r="G66" s="45"/>
      <c r="H66" s="45"/>
      <c r="I66" s="45"/>
      <c r="J66" s="45"/>
      <c r="K66" s="45"/>
      <c r="L66" s="45"/>
      <c r="M66" s="45"/>
      <c r="N66" s="45"/>
      <c r="O66" s="45"/>
      <c r="P66" s="45"/>
      <c r="Q66" s="45"/>
      <c r="R66" s="45"/>
      <c r="S66" s="45"/>
      <c r="T66" s="45"/>
      <c r="U66" s="45"/>
      <c r="V66" s="45"/>
      <c r="W66" s="45"/>
      <c r="X66" s="45"/>
      <c r="Y66" s="45"/>
      <c r="Z66" s="45"/>
    </row>
    <row r="67" ht="15.75" customHeight="1">
      <c r="A67" s="45" t="s">
        <v>641</v>
      </c>
      <c r="B67" s="45"/>
      <c r="C67" s="45" t="s">
        <v>642</v>
      </c>
      <c r="D67" s="45"/>
      <c r="E67" s="45" t="s">
        <v>494</v>
      </c>
      <c r="F67" s="45"/>
      <c r="G67" s="45"/>
      <c r="H67" s="45"/>
      <c r="I67" s="45"/>
      <c r="J67" s="45"/>
      <c r="K67" s="45"/>
      <c r="L67" s="45"/>
      <c r="M67" s="45"/>
      <c r="N67" s="45"/>
      <c r="O67" s="45"/>
      <c r="P67" s="45"/>
      <c r="Q67" s="45"/>
      <c r="R67" s="45"/>
      <c r="S67" s="45"/>
      <c r="T67" s="45"/>
      <c r="U67" s="45"/>
      <c r="V67" s="45"/>
      <c r="W67" s="45"/>
      <c r="X67" s="45"/>
      <c r="Y67" s="45"/>
      <c r="Z67" s="45"/>
    </row>
    <row r="68" ht="15.75" customHeight="1">
      <c r="B68" s="45"/>
      <c r="C68" s="45" t="s">
        <v>643</v>
      </c>
      <c r="D68" s="45"/>
      <c r="E68" s="45" t="s">
        <v>644</v>
      </c>
      <c r="F68" s="45"/>
      <c r="G68" s="45"/>
      <c r="H68" s="45"/>
      <c r="I68" s="45"/>
      <c r="J68" s="45"/>
      <c r="K68" s="45"/>
      <c r="L68" s="45"/>
      <c r="M68" s="45"/>
      <c r="N68" s="45"/>
      <c r="O68" s="45"/>
      <c r="P68" s="45"/>
      <c r="Q68" s="45"/>
      <c r="R68" s="45"/>
      <c r="S68" s="45"/>
      <c r="T68" s="45"/>
      <c r="U68" s="45"/>
      <c r="V68" s="45"/>
      <c r="W68" s="45"/>
      <c r="X68" s="45"/>
      <c r="Y68" s="45"/>
      <c r="Z68" s="45"/>
    </row>
    <row r="69" ht="15.75" customHeight="1">
      <c r="A69" s="163" t="s">
        <v>645</v>
      </c>
      <c r="B69" s="45"/>
      <c r="C69" s="45"/>
      <c r="D69" s="45"/>
      <c r="E69" s="45" t="s">
        <v>592</v>
      </c>
      <c r="F69" s="45"/>
      <c r="G69" s="45"/>
      <c r="H69" s="45"/>
      <c r="I69" s="45"/>
      <c r="J69" s="45"/>
      <c r="K69" s="45"/>
      <c r="L69" s="45"/>
      <c r="M69" s="45"/>
      <c r="N69" s="45"/>
      <c r="O69" s="45"/>
      <c r="P69" s="45"/>
      <c r="Q69" s="45"/>
      <c r="R69" s="45"/>
      <c r="S69" s="45"/>
      <c r="T69" s="45"/>
      <c r="U69" s="45"/>
      <c r="V69" s="45"/>
      <c r="W69" s="45"/>
      <c r="X69" s="45"/>
      <c r="Y69" s="45"/>
      <c r="Z69" s="45"/>
    </row>
    <row r="70" ht="15.75" customHeight="1">
      <c r="A70" s="45" t="s">
        <v>489</v>
      </c>
      <c r="B70" s="45"/>
      <c r="C70" s="45" t="s">
        <v>646</v>
      </c>
      <c r="D70" s="45"/>
      <c r="E70" s="45" t="s">
        <v>647</v>
      </c>
      <c r="F70" s="45"/>
      <c r="G70" s="45"/>
      <c r="H70" s="45"/>
      <c r="I70" s="45"/>
      <c r="J70" s="45"/>
      <c r="K70" s="45"/>
      <c r="L70" s="45"/>
      <c r="M70" s="45"/>
      <c r="N70" s="45"/>
      <c r="O70" s="45"/>
      <c r="P70" s="45"/>
      <c r="Q70" s="45"/>
      <c r="R70" s="45"/>
      <c r="S70" s="45"/>
      <c r="T70" s="45"/>
      <c r="U70" s="45"/>
      <c r="V70" s="45"/>
      <c r="W70" s="45"/>
      <c r="X70" s="45"/>
      <c r="Y70" s="45"/>
      <c r="Z70" s="45"/>
    </row>
    <row r="71" ht="15.75" customHeight="1">
      <c r="A71" s="45" t="s">
        <v>524</v>
      </c>
      <c r="B71" s="45"/>
      <c r="C71" s="45" t="s">
        <v>648</v>
      </c>
      <c r="D71" s="45"/>
      <c r="E71" s="45" t="s">
        <v>649</v>
      </c>
      <c r="F71" s="45"/>
      <c r="G71" s="45"/>
      <c r="H71" s="45"/>
      <c r="I71" s="45"/>
      <c r="J71" s="45"/>
      <c r="K71" s="45"/>
      <c r="L71" s="45"/>
      <c r="M71" s="45"/>
      <c r="N71" s="45"/>
      <c r="O71" s="45"/>
      <c r="P71" s="45"/>
      <c r="Q71" s="45"/>
      <c r="R71" s="45"/>
      <c r="S71" s="45"/>
      <c r="T71" s="45"/>
      <c r="U71" s="45"/>
      <c r="V71" s="45"/>
      <c r="W71" s="45"/>
      <c r="X71" s="45"/>
      <c r="Y71" s="45"/>
      <c r="Z71" s="45"/>
    </row>
    <row r="72" ht="15.75" customHeight="1">
      <c r="A72" s="45" t="s">
        <v>497</v>
      </c>
      <c r="B72" s="45"/>
      <c r="C72" s="45"/>
      <c r="D72" s="45"/>
      <c r="E72" s="45" t="s">
        <v>650</v>
      </c>
      <c r="F72" s="45"/>
      <c r="G72" s="45"/>
      <c r="H72" s="45"/>
      <c r="I72" s="45"/>
      <c r="J72" s="45"/>
      <c r="K72" s="45"/>
      <c r="L72" s="45"/>
      <c r="M72" s="45"/>
      <c r="N72" s="45"/>
      <c r="O72" s="45"/>
      <c r="P72" s="45"/>
      <c r="Q72" s="45"/>
      <c r="R72" s="45"/>
      <c r="S72" s="45"/>
      <c r="T72" s="45"/>
      <c r="U72" s="45"/>
      <c r="V72" s="45"/>
      <c r="W72" s="45"/>
      <c r="X72" s="45"/>
      <c r="Y72" s="45"/>
      <c r="Z72" s="45"/>
    </row>
    <row r="73" ht="15.75" customHeight="1">
      <c r="A73" s="45" t="s">
        <v>555</v>
      </c>
      <c r="B73" s="45"/>
      <c r="C73" s="146" t="s">
        <v>651</v>
      </c>
      <c r="D73" s="45"/>
      <c r="E73" s="45" t="s">
        <v>652</v>
      </c>
      <c r="F73" s="45"/>
      <c r="G73" s="45"/>
      <c r="H73" s="45"/>
      <c r="I73" s="45"/>
      <c r="J73" s="45"/>
      <c r="K73" s="45"/>
      <c r="L73" s="45"/>
      <c r="M73" s="45"/>
      <c r="N73" s="45"/>
      <c r="O73" s="45"/>
      <c r="P73" s="45"/>
      <c r="Q73" s="45"/>
      <c r="R73" s="45"/>
      <c r="S73" s="45"/>
      <c r="T73" s="45"/>
      <c r="U73" s="45"/>
      <c r="V73" s="45"/>
      <c r="W73" s="45"/>
      <c r="X73" s="45"/>
      <c r="Y73" s="45"/>
      <c r="Z73" s="45"/>
    </row>
    <row r="74" ht="15.75" customHeight="1">
      <c r="A74" s="45" t="s">
        <v>507</v>
      </c>
      <c r="B74" s="45"/>
      <c r="C74" s="45" t="s">
        <v>653</v>
      </c>
      <c r="D74" s="45"/>
      <c r="E74" s="45" t="s">
        <v>516</v>
      </c>
      <c r="F74" s="45"/>
      <c r="G74" s="45"/>
      <c r="H74" s="45"/>
      <c r="I74" s="45"/>
      <c r="J74" s="45"/>
      <c r="K74" s="45"/>
      <c r="L74" s="45"/>
      <c r="M74" s="45"/>
      <c r="N74" s="45"/>
      <c r="O74" s="45"/>
      <c r="P74" s="45"/>
      <c r="Q74" s="45"/>
      <c r="R74" s="45"/>
      <c r="S74" s="45"/>
      <c r="T74" s="45"/>
      <c r="U74" s="45"/>
      <c r="V74" s="45"/>
      <c r="W74" s="45"/>
      <c r="X74" s="45"/>
      <c r="Y74" s="45"/>
      <c r="Z74" s="45"/>
    </row>
    <row r="75" ht="15.75" customHeight="1">
      <c r="A75" s="45" t="s">
        <v>506</v>
      </c>
      <c r="B75" s="45"/>
      <c r="C75" s="45" t="s">
        <v>654</v>
      </c>
      <c r="D75" s="45"/>
      <c r="E75" s="45" t="s">
        <v>655</v>
      </c>
      <c r="F75" s="45"/>
      <c r="G75" s="45"/>
      <c r="H75" s="45"/>
      <c r="I75" s="45"/>
      <c r="J75" s="45"/>
      <c r="K75" s="45"/>
      <c r="L75" s="45"/>
      <c r="M75" s="45"/>
      <c r="N75" s="45"/>
      <c r="O75" s="45"/>
      <c r="P75" s="45"/>
      <c r="Q75" s="45"/>
      <c r="R75" s="45"/>
      <c r="S75" s="45"/>
      <c r="T75" s="45"/>
      <c r="U75" s="45"/>
      <c r="V75" s="45"/>
      <c r="W75" s="45"/>
      <c r="X75" s="45"/>
      <c r="Y75" s="45"/>
      <c r="Z75" s="45"/>
    </row>
    <row r="76" ht="15.75" customHeight="1">
      <c r="A76" s="45" t="s">
        <v>535</v>
      </c>
      <c r="B76" s="45"/>
      <c r="C76" s="45" t="s">
        <v>656</v>
      </c>
      <c r="D76" s="45"/>
      <c r="E76" s="45" t="s">
        <v>657</v>
      </c>
      <c r="F76" s="45"/>
      <c r="G76" s="45"/>
      <c r="H76" s="45"/>
      <c r="I76" s="45"/>
      <c r="J76" s="45"/>
      <c r="K76" s="45"/>
      <c r="L76" s="45"/>
      <c r="M76" s="45"/>
      <c r="N76" s="45"/>
      <c r="O76" s="45"/>
      <c r="P76" s="45"/>
      <c r="Q76" s="45"/>
      <c r="R76" s="45"/>
      <c r="S76" s="45"/>
      <c r="T76" s="45"/>
      <c r="U76" s="45"/>
      <c r="V76" s="45"/>
      <c r="W76" s="45"/>
      <c r="X76" s="45"/>
      <c r="Y76" s="45"/>
      <c r="Z76" s="45"/>
    </row>
    <row r="77" ht="15.75" customHeight="1">
      <c r="A77" s="45" t="s">
        <v>658</v>
      </c>
      <c r="B77" s="45"/>
      <c r="C77" s="45" t="s">
        <v>659</v>
      </c>
      <c r="D77" s="45"/>
      <c r="E77" s="45" t="s">
        <v>660</v>
      </c>
      <c r="F77" s="45"/>
      <c r="G77" s="45"/>
      <c r="H77" s="45"/>
      <c r="I77" s="45"/>
      <c r="J77" s="45"/>
      <c r="K77" s="45"/>
      <c r="L77" s="45"/>
      <c r="M77" s="45"/>
      <c r="N77" s="45"/>
      <c r="O77" s="45"/>
      <c r="P77" s="45"/>
      <c r="Q77" s="45"/>
      <c r="R77" s="45"/>
      <c r="S77" s="45"/>
      <c r="T77" s="45"/>
      <c r="U77" s="45"/>
      <c r="V77" s="45"/>
      <c r="W77" s="45"/>
      <c r="X77" s="45"/>
      <c r="Y77" s="45"/>
      <c r="Z77" s="45"/>
    </row>
    <row r="78" ht="15.75" customHeight="1">
      <c r="A78" s="45" t="s">
        <v>661</v>
      </c>
      <c r="B78" s="45"/>
      <c r="C78" s="45" t="s">
        <v>662</v>
      </c>
      <c r="D78" s="45"/>
      <c r="E78" s="45" t="s">
        <v>663</v>
      </c>
      <c r="F78" s="45"/>
      <c r="G78" s="45"/>
      <c r="H78" s="45"/>
      <c r="I78" s="45"/>
      <c r="J78" s="45"/>
      <c r="K78" s="45"/>
      <c r="L78" s="45"/>
      <c r="M78" s="45"/>
      <c r="N78" s="45"/>
      <c r="O78" s="45"/>
      <c r="P78" s="45"/>
      <c r="Q78" s="45"/>
      <c r="R78" s="45"/>
      <c r="S78" s="45"/>
      <c r="T78" s="45"/>
      <c r="U78" s="45"/>
      <c r="V78" s="45"/>
      <c r="W78" s="45"/>
      <c r="X78" s="45"/>
      <c r="Y78" s="45"/>
      <c r="Z78" s="45"/>
    </row>
    <row r="79" ht="15.75" customHeight="1">
      <c r="A79" s="45" t="s">
        <v>664</v>
      </c>
      <c r="B79" s="45"/>
      <c r="C79" s="45" t="s">
        <v>665</v>
      </c>
      <c r="D79" s="45"/>
      <c r="E79" s="147" t="s">
        <v>666</v>
      </c>
      <c r="F79" s="45"/>
      <c r="G79" s="45"/>
      <c r="H79" s="45"/>
      <c r="I79" s="45"/>
      <c r="J79" s="45"/>
      <c r="K79" s="45"/>
      <c r="L79" s="45"/>
      <c r="M79" s="45"/>
      <c r="N79" s="45"/>
      <c r="O79" s="45"/>
      <c r="P79" s="45"/>
      <c r="Q79" s="45"/>
      <c r="R79" s="45"/>
      <c r="S79" s="45"/>
      <c r="T79" s="45"/>
      <c r="U79" s="45"/>
      <c r="V79" s="45"/>
      <c r="W79" s="45"/>
      <c r="X79" s="45"/>
      <c r="Y79" s="45"/>
      <c r="Z79" s="45"/>
    </row>
    <row r="80" ht="15.75" customHeight="1">
      <c r="A80" s="45" t="s">
        <v>667</v>
      </c>
      <c r="B80" s="45"/>
      <c r="C80" s="45" t="s">
        <v>668</v>
      </c>
      <c r="D80" s="45"/>
      <c r="E80" s="147" t="s">
        <v>669</v>
      </c>
      <c r="F80" s="45"/>
      <c r="G80" s="45"/>
      <c r="H80" s="45"/>
      <c r="I80" s="45"/>
      <c r="J80" s="45"/>
      <c r="K80" s="45"/>
      <c r="L80" s="45"/>
      <c r="M80" s="45"/>
      <c r="N80" s="45"/>
      <c r="O80" s="45"/>
      <c r="P80" s="45"/>
      <c r="Q80" s="45"/>
      <c r="R80" s="45"/>
      <c r="S80" s="45"/>
      <c r="T80" s="45"/>
      <c r="U80" s="45"/>
      <c r="V80" s="45"/>
      <c r="W80" s="45"/>
      <c r="X80" s="45"/>
      <c r="Y80" s="45"/>
      <c r="Z80" s="45"/>
    </row>
    <row r="81" ht="15.75" customHeight="1">
      <c r="B81" s="45"/>
      <c r="C81" s="45" t="s">
        <v>670</v>
      </c>
      <c r="D81" s="45"/>
      <c r="E81" s="45" t="s">
        <v>671</v>
      </c>
      <c r="F81" s="45"/>
      <c r="G81" s="45"/>
      <c r="H81" s="45"/>
      <c r="I81" s="45"/>
      <c r="J81" s="45"/>
      <c r="K81" s="45"/>
      <c r="L81" s="45"/>
      <c r="M81" s="45"/>
      <c r="N81" s="45"/>
      <c r="O81" s="45"/>
      <c r="P81" s="45"/>
      <c r="Q81" s="45"/>
      <c r="R81" s="45"/>
      <c r="S81" s="45"/>
      <c r="T81" s="45"/>
      <c r="U81" s="45"/>
      <c r="V81" s="45"/>
      <c r="W81" s="45"/>
      <c r="X81" s="45"/>
      <c r="Y81" s="45"/>
      <c r="Z81" s="45"/>
    </row>
    <row r="82" ht="15.75" customHeight="1">
      <c r="C82" s="45" t="s">
        <v>672</v>
      </c>
      <c r="D82" s="45"/>
      <c r="E82" s="147" t="s">
        <v>673</v>
      </c>
      <c r="F82" s="45"/>
      <c r="G82" s="45"/>
      <c r="H82" s="45"/>
      <c r="I82" s="45"/>
      <c r="J82" s="45"/>
      <c r="K82" s="45"/>
      <c r="L82" s="45"/>
      <c r="M82" s="45"/>
      <c r="N82" s="45"/>
      <c r="O82" s="45"/>
      <c r="P82" s="45"/>
      <c r="Q82" s="45"/>
      <c r="R82" s="45"/>
      <c r="S82" s="45"/>
      <c r="T82" s="45"/>
      <c r="U82" s="45"/>
      <c r="V82" s="45"/>
      <c r="W82" s="45"/>
      <c r="X82" s="45"/>
      <c r="Y82" s="45"/>
      <c r="Z82" s="45"/>
    </row>
    <row r="83" ht="15.75" customHeight="1">
      <c r="A83" s="146" t="s">
        <v>674</v>
      </c>
      <c r="B83" s="45"/>
      <c r="C83" s="45" t="s">
        <v>675</v>
      </c>
      <c r="D83" s="45"/>
      <c r="E83" s="147" t="s">
        <v>676</v>
      </c>
      <c r="F83" s="45"/>
      <c r="G83" s="45"/>
      <c r="H83" s="45"/>
      <c r="I83" s="45"/>
      <c r="J83" s="45"/>
      <c r="K83" s="45"/>
      <c r="L83" s="45"/>
      <c r="M83" s="45"/>
      <c r="N83" s="45"/>
      <c r="O83" s="45"/>
      <c r="P83" s="45"/>
      <c r="Q83" s="45"/>
      <c r="R83" s="45"/>
      <c r="S83" s="45"/>
      <c r="T83" s="45"/>
      <c r="U83" s="45"/>
      <c r="V83" s="45"/>
      <c r="W83" s="45"/>
      <c r="X83" s="45"/>
      <c r="Y83" s="45"/>
      <c r="Z83" s="45"/>
    </row>
    <row r="84" ht="15.75" customHeight="1">
      <c r="A84" s="147" t="s">
        <v>677</v>
      </c>
      <c r="B84" s="45"/>
      <c r="C84" s="45" t="s">
        <v>678</v>
      </c>
      <c r="D84" s="45"/>
      <c r="E84" s="45"/>
      <c r="F84" s="45"/>
      <c r="G84" s="45"/>
      <c r="H84" s="45"/>
      <c r="I84" s="45"/>
      <c r="J84" s="45"/>
      <c r="K84" s="45"/>
      <c r="L84" s="45"/>
      <c r="M84" s="45"/>
      <c r="N84" s="45"/>
      <c r="O84" s="45"/>
      <c r="P84" s="45"/>
      <c r="Q84" s="45"/>
      <c r="R84" s="45"/>
      <c r="S84" s="45"/>
      <c r="T84" s="45"/>
      <c r="U84" s="45"/>
      <c r="V84" s="45"/>
      <c r="W84" s="45"/>
      <c r="X84" s="45"/>
      <c r="Y84" s="45"/>
      <c r="Z84" s="45"/>
    </row>
    <row r="85" ht="15.75" customHeight="1">
      <c r="A85" s="147" t="s">
        <v>493</v>
      </c>
      <c r="B85" s="45"/>
      <c r="C85" s="147" t="s">
        <v>679</v>
      </c>
      <c r="D85" s="45"/>
      <c r="E85" s="146" t="s">
        <v>680</v>
      </c>
      <c r="F85" s="45"/>
      <c r="G85" s="45"/>
      <c r="H85" s="45"/>
      <c r="I85" s="45"/>
      <c r="J85" s="45"/>
      <c r="K85" s="45"/>
      <c r="L85" s="45"/>
      <c r="M85" s="45"/>
      <c r="N85" s="45"/>
      <c r="O85" s="45"/>
      <c r="P85" s="45"/>
      <c r="Q85" s="45"/>
      <c r="R85" s="45"/>
      <c r="S85" s="45"/>
      <c r="T85" s="45"/>
      <c r="U85" s="45"/>
      <c r="V85" s="45"/>
      <c r="W85" s="45"/>
      <c r="X85" s="45"/>
      <c r="Y85" s="45"/>
      <c r="Z85" s="45"/>
    </row>
    <row r="86" ht="15.75" customHeight="1">
      <c r="A86" s="147" t="s">
        <v>564</v>
      </c>
      <c r="B86" s="45"/>
      <c r="C86" s="45"/>
      <c r="D86" s="45"/>
      <c r="E86" s="147" t="s">
        <v>681</v>
      </c>
      <c r="F86" s="45"/>
      <c r="G86" s="45"/>
      <c r="H86" s="45"/>
      <c r="I86" s="45"/>
      <c r="J86" s="45"/>
      <c r="K86" s="45"/>
      <c r="L86" s="45"/>
      <c r="M86" s="45"/>
      <c r="N86" s="45"/>
      <c r="O86" s="45"/>
      <c r="P86" s="45"/>
      <c r="Q86" s="45"/>
      <c r="R86" s="45"/>
      <c r="S86" s="45"/>
      <c r="T86" s="45"/>
      <c r="U86" s="45"/>
      <c r="V86" s="45"/>
      <c r="W86" s="45"/>
      <c r="X86" s="45"/>
      <c r="Y86" s="45"/>
      <c r="Z86" s="45"/>
    </row>
    <row r="87" ht="15.75" customHeight="1">
      <c r="A87" s="147" t="s">
        <v>554</v>
      </c>
      <c r="B87" s="45"/>
      <c r="C87" s="146" t="s">
        <v>682</v>
      </c>
      <c r="D87" s="45"/>
      <c r="E87" s="45" t="s">
        <v>606</v>
      </c>
      <c r="F87" s="45"/>
      <c r="G87" s="45"/>
      <c r="H87" s="45"/>
      <c r="I87" s="45"/>
      <c r="J87" s="45"/>
      <c r="K87" s="45"/>
      <c r="L87" s="45"/>
      <c r="M87" s="45"/>
      <c r="N87" s="45"/>
      <c r="O87" s="45"/>
      <c r="P87" s="45"/>
      <c r="Q87" s="45"/>
      <c r="R87" s="45"/>
      <c r="S87" s="45"/>
      <c r="T87" s="45"/>
      <c r="U87" s="45"/>
      <c r="V87" s="45"/>
      <c r="W87" s="45"/>
      <c r="X87" s="45"/>
      <c r="Y87" s="45"/>
      <c r="Z87" s="45"/>
    </row>
    <row r="88" ht="15.75" customHeight="1">
      <c r="A88" s="147" t="s">
        <v>683</v>
      </c>
      <c r="B88" s="45"/>
      <c r="C88" s="147" t="s">
        <v>489</v>
      </c>
      <c r="D88" s="45"/>
      <c r="E88" s="45" t="s">
        <v>608</v>
      </c>
      <c r="F88" s="45"/>
      <c r="G88" s="45"/>
      <c r="H88" s="45"/>
      <c r="I88" s="45"/>
      <c r="J88" s="45"/>
      <c r="K88" s="45"/>
      <c r="L88" s="45"/>
      <c r="M88" s="45"/>
      <c r="N88" s="45"/>
      <c r="O88" s="45"/>
      <c r="P88" s="45"/>
      <c r="Q88" s="45"/>
      <c r="R88" s="45"/>
      <c r="S88" s="45"/>
      <c r="T88" s="45"/>
      <c r="U88" s="45"/>
      <c r="V88" s="45"/>
      <c r="W88" s="45"/>
      <c r="X88" s="45"/>
      <c r="Y88" s="45"/>
      <c r="Z88" s="45"/>
    </row>
    <row r="89" ht="15.75" customHeight="1">
      <c r="A89" s="147" t="s">
        <v>684</v>
      </c>
      <c r="B89" s="45"/>
      <c r="C89" s="45" t="s">
        <v>524</v>
      </c>
      <c r="D89" s="45"/>
      <c r="E89" s="147" t="s">
        <v>685</v>
      </c>
      <c r="F89" s="45"/>
      <c r="G89" s="45"/>
      <c r="H89" s="45"/>
      <c r="I89" s="45"/>
      <c r="J89" s="45"/>
      <c r="K89" s="45"/>
      <c r="L89" s="45"/>
      <c r="M89" s="45"/>
      <c r="N89" s="45"/>
      <c r="O89" s="45"/>
      <c r="P89" s="45"/>
      <c r="Q89" s="45"/>
      <c r="R89" s="45"/>
      <c r="S89" s="45"/>
      <c r="T89" s="45"/>
      <c r="U89" s="45"/>
      <c r="V89" s="45"/>
      <c r="W89" s="45"/>
      <c r="X89" s="45"/>
      <c r="Y89" s="45"/>
      <c r="Z89" s="45"/>
    </row>
    <row r="90" ht="15.75" customHeight="1">
      <c r="A90" s="45"/>
      <c r="B90" s="45"/>
      <c r="C90" s="45" t="s">
        <v>497</v>
      </c>
      <c r="D90" s="45"/>
      <c r="E90" s="147" t="s">
        <v>686</v>
      </c>
      <c r="F90" s="45"/>
      <c r="G90" s="45"/>
      <c r="H90" s="45"/>
      <c r="I90" s="45"/>
      <c r="J90" s="45"/>
      <c r="K90" s="45"/>
      <c r="L90" s="45"/>
      <c r="M90" s="45"/>
      <c r="N90" s="45"/>
      <c r="O90" s="45"/>
      <c r="P90" s="45"/>
      <c r="Q90" s="45"/>
      <c r="R90" s="45"/>
      <c r="S90" s="45"/>
      <c r="T90" s="45"/>
      <c r="U90" s="45"/>
      <c r="V90" s="45"/>
      <c r="W90" s="45"/>
      <c r="X90" s="45"/>
      <c r="Y90" s="45"/>
      <c r="Z90" s="45"/>
    </row>
    <row r="91" ht="15.75" customHeight="1">
      <c r="A91" s="146" t="s">
        <v>430</v>
      </c>
      <c r="B91" s="45"/>
      <c r="C91" s="147" t="s">
        <v>687</v>
      </c>
      <c r="D91" s="45"/>
      <c r="E91" s="147" t="s">
        <v>688</v>
      </c>
      <c r="F91" s="45"/>
      <c r="G91" s="45"/>
      <c r="H91" s="45"/>
      <c r="I91" s="45"/>
      <c r="J91" s="45"/>
      <c r="K91" s="45"/>
      <c r="L91" s="45"/>
      <c r="M91" s="45"/>
      <c r="N91" s="45"/>
      <c r="O91" s="45"/>
      <c r="P91" s="45"/>
      <c r="Q91" s="45"/>
      <c r="R91" s="45"/>
      <c r="S91" s="45"/>
      <c r="T91" s="45"/>
      <c r="U91" s="45"/>
      <c r="V91" s="45"/>
      <c r="W91" s="45"/>
      <c r="X91" s="45"/>
      <c r="Y91" s="45"/>
      <c r="Z91" s="45"/>
    </row>
    <row r="92" ht="15.75" customHeight="1">
      <c r="A92" s="147" t="s">
        <v>689</v>
      </c>
      <c r="B92" s="45"/>
      <c r="C92" s="45" t="s">
        <v>507</v>
      </c>
      <c r="D92" s="45"/>
      <c r="E92" s="147" t="s">
        <v>690</v>
      </c>
      <c r="F92" s="45"/>
      <c r="G92" s="45"/>
      <c r="H92" s="45"/>
      <c r="I92" s="45"/>
      <c r="J92" s="45"/>
      <c r="K92" s="45"/>
      <c r="L92" s="45"/>
      <c r="M92" s="45"/>
      <c r="N92" s="45"/>
      <c r="O92" s="45"/>
      <c r="P92" s="45"/>
      <c r="Q92" s="45"/>
      <c r="R92" s="45"/>
      <c r="S92" s="45"/>
      <c r="T92" s="45"/>
      <c r="U92" s="45"/>
      <c r="V92" s="45"/>
      <c r="W92" s="45"/>
      <c r="X92" s="45"/>
      <c r="Y92" s="45"/>
      <c r="Z92" s="45"/>
    </row>
    <row r="93" ht="15.75" customHeight="1">
      <c r="A93" s="147" t="s">
        <v>432</v>
      </c>
      <c r="B93" s="45"/>
      <c r="C93" s="45" t="s">
        <v>506</v>
      </c>
      <c r="D93" s="45"/>
      <c r="E93" s="147" t="s">
        <v>691</v>
      </c>
      <c r="F93" s="45"/>
      <c r="G93" s="45"/>
      <c r="H93" s="45"/>
      <c r="I93" s="45"/>
      <c r="J93" s="45"/>
      <c r="K93" s="45"/>
      <c r="L93" s="45"/>
      <c r="M93" s="45"/>
      <c r="N93" s="45"/>
      <c r="O93" s="45"/>
      <c r="P93" s="45"/>
      <c r="Q93" s="45"/>
      <c r="R93" s="45"/>
      <c r="S93" s="45"/>
      <c r="T93" s="45"/>
      <c r="U93" s="45"/>
      <c r="V93" s="45"/>
      <c r="W93" s="45"/>
      <c r="X93" s="45"/>
      <c r="Y93" s="45"/>
      <c r="Z93" s="45"/>
    </row>
    <row r="94" ht="15.75" customHeight="1">
      <c r="A94" s="147" t="s">
        <v>433</v>
      </c>
      <c r="B94" s="45"/>
      <c r="C94" s="45" t="s">
        <v>535</v>
      </c>
      <c r="D94" s="45"/>
      <c r="E94" s="147" t="s">
        <v>692</v>
      </c>
      <c r="F94" s="45"/>
      <c r="G94" s="45"/>
      <c r="H94" s="45"/>
      <c r="I94" s="45"/>
      <c r="J94" s="45"/>
      <c r="K94" s="45"/>
      <c r="L94" s="45"/>
      <c r="M94" s="45"/>
      <c r="N94" s="45"/>
      <c r="O94" s="45"/>
      <c r="P94" s="45"/>
      <c r="Q94" s="45"/>
      <c r="R94" s="45"/>
      <c r="S94" s="45"/>
      <c r="T94" s="45"/>
      <c r="U94" s="45"/>
      <c r="V94" s="45"/>
      <c r="W94" s="45"/>
      <c r="X94" s="45"/>
      <c r="Y94" s="45"/>
      <c r="Z94" s="45"/>
    </row>
    <row r="95" ht="15.75" customHeight="1">
      <c r="A95" s="147" t="s">
        <v>434</v>
      </c>
      <c r="B95" s="45"/>
      <c r="C95" s="159" t="s">
        <v>693</v>
      </c>
      <c r="D95" s="45"/>
      <c r="E95" s="147" t="s">
        <v>694</v>
      </c>
      <c r="F95" s="45"/>
      <c r="G95" s="45"/>
      <c r="H95" s="45"/>
      <c r="I95" s="45"/>
      <c r="J95" s="45"/>
      <c r="K95" s="45"/>
      <c r="L95" s="45"/>
      <c r="M95" s="45"/>
      <c r="N95" s="45"/>
      <c r="O95" s="45"/>
      <c r="P95" s="45"/>
      <c r="Q95" s="45"/>
      <c r="R95" s="45"/>
      <c r="S95" s="45"/>
      <c r="T95" s="45"/>
      <c r="U95" s="45"/>
      <c r="V95" s="45"/>
      <c r="W95" s="45"/>
      <c r="X95" s="45"/>
      <c r="Y95" s="45"/>
      <c r="Z95" s="45"/>
    </row>
    <row r="96" ht="15.75" customHeight="1">
      <c r="A96" s="147" t="s">
        <v>416</v>
      </c>
      <c r="B96" s="45"/>
      <c r="C96" s="45"/>
      <c r="D96" s="45"/>
      <c r="E96" s="147" t="s">
        <v>695</v>
      </c>
      <c r="F96" s="45"/>
      <c r="G96" s="45"/>
      <c r="H96" s="45"/>
      <c r="I96" s="45"/>
      <c r="J96" s="45"/>
      <c r="K96" s="45"/>
      <c r="L96" s="45"/>
      <c r="M96" s="45"/>
      <c r="N96" s="45"/>
      <c r="O96" s="45"/>
      <c r="P96" s="45"/>
      <c r="Q96" s="45"/>
      <c r="R96" s="45"/>
      <c r="S96" s="45"/>
      <c r="T96" s="45"/>
      <c r="U96" s="45"/>
      <c r="V96" s="45"/>
      <c r="W96" s="45"/>
      <c r="X96" s="45"/>
      <c r="Y96" s="45"/>
      <c r="Z96" s="45"/>
    </row>
    <row r="97" ht="15.75" customHeight="1">
      <c r="A97" s="147" t="s">
        <v>508</v>
      </c>
      <c r="B97" s="45"/>
      <c r="C97" s="146" t="s">
        <v>696</v>
      </c>
      <c r="D97" s="45"/>
      <c r="E97" s="147" t="s">
        <v>697</v>
      </c>
      <c r="F97" s="45"/>
      <c r="G97" s="45"/>
      <c r="H97" s="45"/>
      <c r="I97" s="45"/>
      <c r="J97" s="45"/>
      <c r="K97" s="45"/>
      <c r="L97" s="45"/>
      <c r="M97" s="45"/>
      <c r="N97" s="45"/>
      <c r="O97" s="45"/>
      <c r="P97" s="45"/>
      <c r="Q97" s="45"/>
      <c r="R97" s="45"/>
      <c r="S97" s="45"/>
      <c r="T97" s="45"/>
      <c r="U97" s="45"/>
      <c r="V97" s="45"/>
      <c r="W97" s="45"/>
      <c r="X97" s="45"/>
      <c r="Y97" s="45"/>
      <c r="Z97" s="45"/>
    </row>
    <row r="98" ht="15.75" customHeight="1">
      <c r="A98" s="45" t="s">
        <v>510</v>
      </c>
      <c r="B98" s="45"/>
      <c r="C98" s="45" t="s">
        <v>560</v>
      </c>
      <c r="D98" s="45"/>
      <c r="E98" s="147" t="s">
        <v>698</v>
      </c>
      <c r="F98" s="45"/>
      <c r="G98" s="45"/>
      <c r="H98" s="45"/>
      <c r="I98" s="45"/>
      <c r="J98" s="45"/>
      <c r="K98" s="45"/>
      <c r="L98" s="45"/>
      <c r="M98" s="45"/>
      <c r="N98" s="45"/>
      <c r="O98" s="45"/>
      <c r="P98" s="45"/>
      <c r="Q98" s="45"/>
      <c r="R98" s="45"/>
      <c r="S98" s="45"/>
      <c r="T98" s="45"/>
      <c r="U98" s="45"/>
      <c r="V98" s="45"/>
      <c r="W98" s="45"/>
      <c r="X98" s="45"/>
      <c r="Y98" s="45"/>
      <c r="Z98" s="45"/>
    </row>
    <row r="99" ht="15.75" customHeight="1">
      <c r="A99" s="147" t="s">
        <v>418</v>
      </c>
      <c r="B99" s="45"/>
      <c r="C99" s="45" t="s">
        <v>699</v>
      </c>
      <c r="D99" s="45"/>
      <c r="E99" s="45"/>
      <c r="F99" s="45"/>
      <c r="G99" s="45"/>
      <c r="H99" s="45"/>
      <c r="I99" s="45"/>
      <c r="J99" s="45"/>
      <c r="K99" s="45"/>
      <c r="L99" s="45"/>
      <c r="M99" s="45"/>
      <c r="N99" s="45"/>
      <c r="O99" s="45"/>
      <c r="P99" s="45"/>
      <c r="Q99" s="45"/>
      <c r="R99" s="45"/>
      <c r="S99" s="45"/>
      <c r="T99" s="45"/>
      <c r="U99" s="45"/>
      <c r="V99" s="45"/>
      <c r="W99" s="45"/>
      <c r="X99" s="45"/>
      <c r="Y99" s="45"/>
      <c r="Z99" s="45"/>
    </row>
    <row r="100" ht="15.75" customHeight="1">
      <c r="A100" s="147" t="s">
        <v>435</v>
      </c>
      <c r="B100" s="45"/>
      <c r="C100" s="45" t="s">
        <v>700</v>
      </c>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ht="15.75" customHeight="1">
      <c r="A101" s="45" t="s">
        <v>516</v>
      </c>
      <c r="B101" s="45"/>
      <c r="C101" s="45" t="s">
        <v>701</v>
      </c>
      <c r="D101" s="45"/>
      <c r="E101" s="45" t="s">
        <v>702</v>
      </c>
      <c r="F101" s="45"/>
      <c r="G101" s="45"/>
      <c r="H101" s="45"/>
      <c r="I101" s="45"/>
      <c r="J101" s="45"/>
      <c r="K101" s="45"/>
      <c r="L101" s="45"/>
      <c r="M101" s="45"/>
      <c r="N101" s="45"/>
      <c r="O101" s="45"/>
      <c r="P101" s="45"/>
      <c r="Q101" s="45"/>
      <c r="R101" s="45"/>
      <c r="S101" s="45"/>
      <c r="T101" s="45"/>
      <c r="U101" s="45"/>
      <c r="V101" s="45"/>
      <c r="W101" s="45"/>
      <c r="X101" s="45"/>
      <c r="Y101" s="45"/>
      <c r="Z101" s="45"/>
    </row>
    <row r="102" ht="15.75" customHeight="1">
      <c r="A102" s="147" t="s">
        <v>436</v>
      </c>
      <c r="B102" s="45"/>
      <c r="C102" s="45" t="s">
        <v>703</v>
      </c>
      <c r="D102" s="45"/>
      <c r="E102" s="45" t="s">
        <v>704</v>
      </c>
      <c r="F102" s="45"/>
      <c r="G102" s="45"/>
      <c r="H102" s="45"/>
      <c r="I102" s="45"/>
      <c r="J102" s="45"/>
      <c r="K102" s="45"/>
      <c r="L102" s="45"/>
      <c r="M102" s="45"/>
      <c r="N102" s="45"/>
      <c r="O102" s="45"/>
      <c r="P102" s="45"/>
      <c r="Q102" s="45"/>
      <c r="R102" s="45"/>
      <c r="S102" s="45"/>
      <c r="T102" s="45"/>
      <c r="U102" s="45"/>
      <c r="V102" s="45"/>
      <c r="W102" s="45"/>
      <c r="X102" s="45"/>
      <c r="Y102" s="45"/>
      <c r="Z102" s="45"/>
    </row>
    <row r="103" ht="15.75" customHeight="1">
      <c r="A103" s="159" t="s">
        <v>705</v>
      </c>
      <c r="B103" s="45"/>
      <c r="C103" s="45" t="s">
        <v>706</v>
      </c>
      <c r="D103" s="45"/>
      <c r="E103" s="45" t="s">
        <v>707</v>
      </c>
      <c r="F103" s="45"/>
      <c r="G103" s="45"/>
      <c r="H103" s="45"/>
      <c r="I103" s="45"/>
      <c r="J103" s="45"/>
      <c r="K103" s="45"/>
      <c r="L103" s="45"/>
      <c r="M103" s="45"/>
      <c r="N103" s="45"/>
      <c r="O103" s="45"/>
      <c r="P103" s="45"/>
      <c r="Q103" s="45"/>
      <c r="R103" s="45"/>
      <c r="S103" s="45"/>
      <c r="T103" s="45"/>
      <c r="U103" s="45"/>
      <c r="V103" s="45"/>
      <c r="W103" s="45"/>
      <c r="X103" s="45"/>
      <c r="Y103" s="45"/>
      <c r="Z103" s="45"/>
    </row>
    <row r="104" ht="15.75" customHeight="1">
      <c r="A104" s="147" t="s">
        <v>708</v>
      </c>
      <c r="B104" s="45"/>
      <c r="C104" s="45" t="s">
        <v>709</v>
      </c>
      <c r="D104" s="45"/>
      <c r="E104" s="45" t="s">
        <v>710</v>
      </c>
      <c r="F104" s="45"/>
      <c r="G104" s="45"/>
      <c r="H104" s="45"/>
      <c r="I104" s="45"/>
      <c r="J104" s="45"/>
      <c r="K104" s="45"/>
      <c r="L104" s="45"/>
      <c r="M104" s="45"/>
      <c r="N104" s="45"/>
      <c r="O104" s="45"/>
      <c r="P104" s="45"/>
      <c r="Q104" s="45"/>
      <c r="R104" s="45"/>
      <c r="S104" s="45"/>
      <c r="T104" s="45"/>
      <c r="U104" s="45"/>
      <c r="V104" s="45"/>
      <c r="W104" s="45"/>
      <c r="X104" s="45"/>
      <c r="Y104" s="45"/>
      <c r="Z104" s="45"/>
    </row>
    <row r="105" ht="15.75" customHeight="1">
      <c r="A105" s="147" t="s">
        <v>711</v>
      </c>
      <c r="B105" s="45"/>
      <c r="C105" s="45" t="s">
        <v>712</v>
      </c>
      <c r="D105" s="45"/>
      <c r="E105" s="45" t="s">
        <v>713</v>
      </c>
      <c r="F105" s="45"/>
      <c r="G105" s="45"/>
      <c r="H105" s="45"/>
      <c r="I105" s="45"/>
      <c r="J105" s="45"/>
      <c r="K105" s="45"/>
      <c r="L105" s="45"/>
      <c r="M105" s="45"/>
      <c r="N105" s="45"/>
      <c r="O105" s="45"/>
      <c r="P105" s="45"/>
      <c r="Q105" s="45"/>
      <c r="R105" s="45"/>
      <c r="S105" s="45"/>
      <c r="T105" s="45"/>
      <c r="U105" s="45"/>
      <c r="V105" s="45"/>
      <c r="W105" s="45"/>
      <c r="X105" s="45"/>
      <c r="Y105" s="45"/>
      <c r="Z105" s="45"/>
    </row>
    <row r="106" ht="15.75" customHeight="1">
      <c r="A106" s="147" t="s">
        <v>714</v>
      </c>
      <c r="B106" s="45"/>
      <c r="C106" s="45" t="s">
        <v>715</v>
      </c>
      <c r="D106" s="45"/>
      <c r="E106" s="45" t="s">
        <v>716</v>
      </c>
      <c r="F106" s="45"/>
      <c r="G106" s="45"/>
      <c r="H106" s="45"/>
      <c r="I106" s="45"/>
      <c r="J106" s="45"/>
      <c r="K106" s="45"/>
      <c r="L106" s="45"/>
      <c r="M106" s="45"/>
      <c r="N106" s="45"/>
      <c r="O106" s="45"/>
      <c r="P106" s="45"/>
      <c r="Q106" s="45"/>
      <c r="R106" s="45"/>
      <c r="S106" s="45"/>
      <c r="T106" s="45"/>
      <c r="U106" s="45"/>
      <c r="V106" s="45"/>
      <c r="W106" s="45"/>
      <c r="X106" s="45"/>
      <c r="Y106" s="45"/>
      <c r="Z106" s="45"/>
    </row>
    <row r="107" ht="15.75" customHeight="1">
      <c r="A107" s="147" t="s">
        <v>717</v>
      </c>
      <c r="B107" s="45"/>
      <c r="C107" s="147" t="s">
        <v>718</v>
      </c>
      <c r="D107" s="45"/>
      <c r="E107" s="45" t="s">
        <v>719</v>
      </c>
      <c r="F107" s="45"/>
      <c r="G107" s="45"/>
      <c r="H107" s="45"/>
      <c r="I107" s="45"/>
      <c r="J107" s="45"/>
      <c r="K107" s="45"/>
      <c r="L107" s="45"/>
      <c r="M107" s="45"/>
      <c r="N107" s="45"/>
      <c r="O107" s="45"/>
      <c r="P107" s="45"/>
      <c r="Q107" s="45"/>
      <c r="R107" s="45"/>
      <c r="S107" s="45"/>
      <c r="T107" s="45"/>
      <c r="U107" s="45"/>
      <c r="V107" s="45"/>
      <c r="W107" s="45"/>
      <c r="X107" s="45"/>
      <c r="Y107" s="45"/>
      <c r="Z107" s="45"/>
    </row>
    <row r="108" ht="15.75" customHeight="1">
      <c r="A108" s="147" t="s">
        <v>720</v>
      </c>
      <c r="B108" s="45"/>
      <c r="C108" s="165" t="s">
        <v>721</v>
      </c>
      <c r="D108" s="45"/>
      <c r="E108" s="45" t="s">
        <v>722</v>
      </c>
      <c r="F108" s="45"/>
      <c r="G108" s="45"/>
      <c r="H108" s="45"/>
      <c r="I108" s="45"/>
      <c r="J108" s="45"/>
      <c r="K108" s="45"/>
      <c r="L108" s="45"/>
      <c r="M108" s="45"/>
      <c r="N108" s="45"/>
      <c r="O108" s="45"/>
      <c r="P108" s="45"/>
      <c r="Q108" s="45"/>
      <c r="R108" s="45"/>
      <c r="S108" s="45"/>
      <c r="T108" s="45"/>
      <c r="U108" s="45"/>
      <c r="V108" s="45"/>
      <c r="W108" s="45"/>
      <c r="X108" s="45"/>
      <c r="Y108" s="45"/>
      <c r="Z108" s="45"/>
    </row>
    <row r="109" ht="15.75" customHeight="1">
      <c r="A109" s="147" t="s">
        <v>723</v>
      </c>
      <c r="B109" s="45"/>
      <c r="C109" s="45"/>
      <c r="D109" s="45"/>
      <c r="E109" s="45" t="s">
        <v>724</v>
      </c>
      <c r="F109" s="45"/>
      <c r="G109" s="45"/>
      <c r="H109" s="45"/>
      <c r="I109" s="45"/>
      <c r="J109" s="45"/>
      <c r="K109" s="45"/>
      <c r="L109" s="45"/>
      <c r="M109" s="45"/>
      <c r="N109" s="45"/>
      <c r="O109" s="45"/>
      <c r="P109" s="45"/>
      <c r="Q109" s="45"/>
      <c r="R109" s="45"/>
      <c r="S109" s="45"/>
      <c r="T109" s="45"/>
      <c r="U109" s="45"/>
      <c r="V109" s="45"/>
      <c r="W109" s="45"/>
      <c r="X109" s="45"/>
      <c r="Y109" s="45"/>
      <c r="Z109" s="45"/>
    </row>
    <row r="110" ht="15.75" customHeight="1">
      <c r="A110" s="147" t="s">
        <v>725</v>
      </c>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ht="15.75" customHeight="1">
      <c r="A111" s="147" t="s">
        <v>726</v>
      </c>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ht="15.75" customHeight="1">
      <c r="A112" s="147" t="s">
        <v>727</v>
      </c>
      <c r="B112" s="45"/>
      <c r="C112" s="147" t="s">
        <v>728</v>
      </c>
      <c r="D112" s="45"/>
      <c r="E112" s="45" t="s">
        <v>729</v>
      </c>
      <c r="F112" s="45"/>
      <c r="G112" s="45"/>
      <c r="H112" s="45"/>
      <c r="I112" s="45"/>
      <c r="J112" s="45"/>
      <c r="K112" s="45"/>
      <c r="L112" s="45"/>
      <c r="M112" s="45"/>
      <c r="N112" s="45"/>
      <c r="O112" s="45"/>
      <c r="P112" s="45"/>
      <c r="Q112" s="45"/>
      <c r="R112" s="45"/>
      <c r="S112" s="45"/>
      <c r="T112" s="45"/>
      <c r="U112" s="45"/>
      <c r="V112" s="45"/>
      <c r="W112" s="45"/>
      <c r="X112" s="45"/>
      <c r="Y112" s="45"/>
      <c r="Z112" s="45"/>
    </row>
    <row r="113" ht="15.75" customHeight="1">
      <c r="A113" s="166" t="s">
        <v>730</v>
      </c>
      <c r="B113" s="45"/>
      <c r="C113" s="147" t="s">
        <v>489</v>
      </c>
      <c r="D113" s="45"/>
      <c r="E113" s="45" t="s">
        <v>704</v>
      </c>
      <c r="F113" s="45"/>
      <c r="G113" s="45"/>
      <c r="H113" s="45"/>
      <c r="I113" s="45"/>
      <c r="J113" s="45"/>
      <c r="K113" s="45"/>
      <c r="L113" s="45"/>
      <c r="M113" s="45"/>
      <c r="N113" s="45"/>
      <c r="O113" s="45"/>
      <c r="P113" s="45"/>
      <c r="Q113" s="45"/>
      <c r="R113" s="45"/>
      <c r="S113" s="45"/>
      <c r="T113" s="45"/>
      <c r="U113" s="45"/>
      <c r="V113" s="45"/>
      <c r="W113" s="45"/>
      <c r="X113" s="45"/>
      <c r="Y113" s="45"/>
      <c r="Z113" s="45"/>
    </row>
    <row r="114" ht="15.75" customHeight="1">
      <c r="A114" s="167" t="s">
        <v>731</v>
      </c>
      <c r="B114" s="45"/>
      <c r="C114" s="147" t="s">
        <v>732</v>
      </c>
      <c r="D114" s="45"/>
      <c r="E114" s="45" t="s">
        <v>707</v>
      </c>
      <c r="F114" s="45"/>
      <c r="G114" s="45"/>
      <c r="H114" s="45"/>
      <c r="I114" s="45"/>
      <c r="J114" s="45"/>
      <c r="K114" s="45"/>
      <c r="L114" s="45"/>
      <c r="M114" s="45"/>
      <c r="N114" s="45"/>
      <c r="O114" s="45"/>
      <c r="P114" s="45"/>
      <c r="Q114" s="45"/>
      <c r="R114" s="45"/>
      <c r="S114" s="45"/>
      <c r="T114" s="45"/>
      <c r="U114" s="45"/>
      <c r="V114" s="45"/>
      <c r="W114" s="45"/>
      <c r="X114" s="45"/>
      <c r="Y114" s="45"/>
      <c r="Z114" s="45"/>
    </row>
    <row r="115" ht="15.75" customHeight="1">
      <c r="A115" s="167" t="s">
        <v>733</v>
      </c>
      <c r="B115" s="45"/>
      <c r="C115" s="147" t="s">
        <v>734</v>
      </c>
      <c r="D115" s="45"/>
      <c r="E115" s="45" t="s">
        <v>710</v>
      </c>
      <c r="F115" s="45"/>
      <c r="G115" s="45"/>
      <c r="H115" s="45"/>
      <c r="I115" s="45"/>
      <c r="J115" s="45"/>
      <c r="K115" s="45"/>
      <c r="L115" s="45"/>
      <c r="M115" s="45"/>
      <c r="N115" s="45"/>
      <c r="O115" s="45"/>
      <c r="P115" s="45"/>
      <c r="Q115" s="45"/>
      <c r="R115" s="45"/>
      <c r="S115" s="45"/>
      <c r="T115" s="45"/>
      <c r="U115" s="45"/>
      <c r="V115" s="45"/>
      <c r="W115" s="45"/>
      <c r="X115" s="45"/>
      <c r="Y115" s="45"/>
      <c r="Z115" s="45"/>
    </row>
    <row r="116" ht="15.75" customHeight="1">
      <c r="A116" s="167" t="s">
        <v>735</v>
      </c>
      <c r="B116" s="147"/>
      <c r="C116" s="147" t="s">
        <v>736</v>
      </c>
      <c r="D116" s="45"/>
      <c r="E116" s="45" t="s">
        <v>737</v>
      </c>
      <c r="F116" s="45"/>
      <c r="G116" s="45"/>
      <c r="H116" s="45"/>
      <c r="I116" s="45"/>
      <c r="J116" s="45"/>
      <c r="K116" s="45"/>
      <c r="L116" s="45"/>
      <c r="M116" s="45"/>
      <c r="N116" s="45"/>
      <c r="O116" s="45"/>
      <c r="P116" s="45"/>
      <c r="Q116" s="45"/>
      <c r="R116" s="45"/>
      <c r="S116" s="45"/>
      <c r="T116" s="45"/>
      <c r="U116" s="45"/>
      <c r="V116" s="45"/>
      <c r="W116" s="45"/>
      <c r="X116" s="45"/>
      <c r="Y116" s="45"/>
      <c r="Z116" s="45"/>
    </row>
    <row r="117" ht="15.75" customHeight="1">
      <c r="A117" s="167" t="s">
        <v>738</v>
      </c>
      <c r="B117" s="45"/>
      <c r="C117" s="45"/>
      <c r="D117" s="45"/>
      <c r="E117" s="45" t="s">
        <v>739</v>
      </c>
      <c r="F117" s="45"/>
      <c r="G117" s="45"/>
      <c r="H117" s="45"/>
      <c r="I117" s="45"/>
      <c r="J117" s="45"/>
      <c r="K117" s="45"/>
      <c r="L117" s="45"/>
      <c r="M117" s="45"/>
      <c r="N117" s="45"/>
      <c r="O117" s="45"/>
      <c r="P117" s="45"/>
      <c r="Q117" s="45"/>
      <c r="R117" s="45"/>
      <c r="S117" s="45"/>
      <c r="T117" s="45"/>
      <c r="U117" s="45"/>
      <c r="V117" s="45"/>
      <c r="W117" s="45"/>
      <c r="X117" s="45"/>
      <c r="Y117" s="45"/>
      <c r="Z117" s="45"/>
    </row>
    <row r="118" ht="15.75" customHeight="1">
      <c r="A118" s="167" t="s">
        <v>740</v>
      </c>
      <c r="B118" s="45"/>
      <c r="C118" s="45"/>
      <c r="D118" s="45"/>
      <c r="E118" s="45" t="s">
        <v>741</v>
      </c>
      <c r="F118" s="45"/>
      <c r="G118" s="45"/>
      <c r="H118" s="45"/>
      <c r="I118" s="45"/>
      <c r="J118" s="45"/>
      <c r="K118" s="45"/>
      <c r="L118" s="45"/>
      <c r="M118" s="45"/>
      <c r="N118" s="45"/>
      <c r="O118" s="45"/>
      <c r="P118" s="45"/>
      <c r="Q118" s="45"/>
      <c r="R118" s="45"/>
      <c r="S118" s="45"/>
      <c r="T118" s="45"/>
      <c r="U118" s="45"/>
      <c r="V118" s="45"/>
      <c r="W118" s="45"/>
      <c r="X118" s="45"/>
      <c r="Y118" s="45"/>
      <c r="Z118" s="45"/>
    </row>
    <row r="119" ht="15.75" customHeight="1">
      <c r="A119" s="167" t="s">
        <v>742</v>
      </c>
      <c r="B119" s="45"/>
      <c r="C119" s="45"/>
      <c r="D119" s="45"/>
      <c r="E119" s="45" t="s">
        <v>743</v>
      </c>
      <c r="F119" s="45"/>
      <c r="G119" s="45"/>
      <c r="H119" s="45"/>
      <c r="I119" s="45"/>
      <c r="J119" s="45"/>
      <c r="K119" s="45"/>
      <c r="L119" s="45"/>
      <c r="M119" s="45"/>
      <c r="N119" s="45"/>
      <c r="O119" s="45"/>
      <c r="P119" s="45"/>
      <c r="Q119" s="45"/>
      <c r="R119" s="45"/>
      <c r="S119" s="45"/>
      <c r="T119" s="45"/>
      <c r="U119" s="45"/>
      <c r="V119" s="45"/>
      <c r="W119" s="45"/>
      <c r="X119" s="45"/>
      <c r="Y119" s="45"/>
      <c r="Z119" s="45"/>
    </row>
    <row r="120" ht="15.75" customHeight="1">
      <c r="A120" s="167" t="s">
        <v>722</v>
      </c>
      <c r="B120" s="45"/>
      <c r="C120" s="45" t="s">
        <v>744</v>
      </c>
      <c r="D120" s="45"/>
      <c r="F120" s="45"/>
      <c r="G120" s="45"/>
      <c r="H120" s="45"/>
      <c r="I120" s="45"/>
      <c r="J120" s="45"/>
      <c r="K120" s="45"/>
      <c r="L120" s="45"/>
      <c r="M120" s="45"/>
      <c r="N120" s="45"/>
      <c r="O120" s="45"/>
      <c r="P120" s="45"/>
      <c r="Q120" s="45"/>
      <c r="R120" s="45"/>
      <c r="S120" s="45"/>
      <c r="T120" s="45"/>
      <c r="U120" s="45"/>
      <c r="V120" s="45"/>
      <c r="W120" s="45"/>
      <c r="X120" s="45"/>
      <c r="Y120" s="45"/>
      <c r="Z120" s="45"/>
    </row>
    <row r="121" ht="15.75" customHeight="1">
      <c r="A121" s="167" t="s">
        <v>745</v>
      </c>
      <c r="B121" s="45"/>
      <c r="C121" s="45" t="s">
        <v>640</v>
      </c>
      <c r="D121" s="45"/>
      <c r="E121" s="168" t="s">
        <v>746</v>
      </c>
      <c r="F121" s="45"/>
      <c r="G121" s="45"/>
      <c r="H121" s="45"/>
      <c r="I121" s="45"/>
      <c r="J121" s="45"/>
      <c r="K121" s="45"/>
      <c r="L121" s="45"/>
      <c r="M121" s="45"/>
      <c r="N121" s="45"/>
      <c r="O121" s="45"/>
      <c r="P121" s="45"/>
      <c r="Q121" s="45"/>
      <c r="R121" s="45"/>
      <c r="S121" s="45"/>
      <c r="T121" s="45"/>
      <c r="U121" s="45"/>
      <c r="V121" s="45"/>
      <c r="W121" s="45"/>
      <c r="X121" s="45"/>
      <c r="Y121" s="45"/>
      <c r="Z121" s="45"/>
    </row>
    <row r="122" ht="15.75" customHeight="1">
      <c r="A122" s="45"/>
      <c r="B122" s="45"/>
      <c r="C122" s="45" t="s">
        <v>489</v>
      </c>
      <c r="D122" s="45"/>
      <c r="E122" s="45" t="s">
        <v>747</v>
      </c>
      <c r="F122" s="45"/>
      <c r="G122" s="45"/>
      <c r="H122" s="45"/>
      <c r="I122" s="45"/>
      <c r="J122" s="45"/>
      <c r="K122" s="45"/>
      <c r="L122" s="45"/>
      <c r="M122" s="45"/>
      <c r="N122" s="45"/>
      <c r="O122" s="45"/>
      <c r="P122" s="45"/>
      <c r="Q122" s="45"/>
      <c r="R122" s="45"/>
      <c r="S122" s="45"/>
      <c r="T122" s="45"/>
      <c r="U122" s="45"/>
      <c r="V122" s="45"/>
      <c r="W122" s="45"/>
      <c r="X122" s="45"/>
      <c r="Y122" s="45"/>
      <c r="Z122" s="45"/>
    </row>
    <row r="123" ht="15.75" customHeight="1">
      <c r="A123" s="169" t="s">
        <v>748</v>
      </c>
      <c r="B123" s="45"/>
      <c r="C123" s="45" t="s">
        <v>524</v>
      </c>
      <c r="D123" s="45"/>
      <c r="E123" s="45" t="s">
        <v>749</v>
      </c>
      <c r="F123" s="45"/>
      <c r="G123" s="45"/>
      <c r="H123" s="45"/>
      <c r="I123" s="45"/>
      <c r="J123" s="45"/>
      <c r="K123" s="45"/>
      <c r="L123" s="45"/>
      <c r="M123" s="45"/>
      <c r="N123" s="45"/>
      <c r="O123" s="45"/>
      <c r="P123" s="45"/>
      <c r="Q123" s="45"/>
      <c r="R123" s="45"/>
      <c r="S123" s="45"/>
      <c r="T123" s="45"/>
      <c r="U123" s="45"/>
      <c r="V123" s="45"/>
      <c r="W123" s="45"/>
      <c r="X123" s="45"/>
      <c r="Y123" s="45"/>
      <c r="Z123" s="45"/>
    </row>
    <row r="124" ht="15.75" customHeight="1">
      <c r="A124" s="170" t="s">
        <v>750</v>
      </c>
      <c r="B124" s="45"/>
      <c r="C124" s="45" t="s">
        <v>497</v>
      </c>
      <c r="D124" s="45"/>
      <c r="E124" s="45" t="s">
        <v>751</v>
      </c>
      <c r="F124" s="45"/>
      <c r="G124" s="45"/>
      <c r="H124" s="45"/>
      <c r="I124" s="45"/>
      <c r="J124" s="45"/>
      <c r="K124" s="45"/>
      <c r="L124" s="45"/>
      <c r="M124" s="45"/>
      <c r="N124" s="45"/>
      <c r="O124" s="45"/>
      <c r="P124" s="45"/>
      <c r="Q124" s="45"/>
      <c r="R124" s="45"/>
      <c r="S124" s="45"/>
      <c r="T124" s="45"/>
      <c r="U124" s="45"/>
      <c r="V124" s="45"/>
      <c r="W124" s="45"/>
      <c r="X124" s="45"/>
      <c r="Y124" s="45"/>
      <c r="Z124" s="45"/>
    </row>
    <row r="125" ht="15.75" customHeight="1">
      <c r="A125" s="170" t="s">
        <v>752</v>
      </c>
      <c r="B125" s="45"/>
      <c r="C125" s="45" t="s">
        <v>555</v>
      </c>
      <c r="D125" s="45"/>
      <c r="E125" s="45" t="s">
        <v>753</v>
      </c>
      <c r="F125" s="45"/>
      <c r="G125" s="45"/>
      <c r="H125" s="45"/>
      <c r="I125" s="45"/>
      <c r="J125" s="45"/>
      <c r="K125" s="45"/>
      <c r="L125" s="45"/>
      <c r="M125" s="45"/>
      <c r="N125" s="45"/>
      <c r="O125" s="45"/>
      <c r="P125" s="45"/>
      <c r="Q125" s="45"/>
      <c r="R125" s="45"/>
      <c r="S125" s="45"/>
      <c r="T125" s="45"/>
      <c r="U125" s="45"/>
      <c r="V125" s="45"/>
      <c r="W125" s="45"/>
      <c r="X125" s="45"/>
      <c r="Y125" s="45"/>
      <c r="Z125" s="45"/>
    </row>
    <row r="126" ht="15.75" customHeight="1">
      <c r="A126" s="170" t="s">
        <v>754</v>
      </c>
      <c r="B126" s="45"/>
      <c r="C126" s="45" t="s">
        <v>507</v>
      </c>
      <c r="D126" s="45"/>
      <c r="E126" s="45" t="s">
        <v>755</v>
      </c>
      <c r="F126" s="45"/>
      <c r="G126" s="45"/>
      <c r="H126" s="45"/>
      <c r="I126" s="45"/>
      <c r="J126" s="45"/>
      <c r="K126" s="45"/>
      <c r="L126" s="45"/>
      <c r="M126" s="45"/>
      <c r="N126" s="45"/>
      <c r="O126" s="45"/>
      <c r="P126" s="45"/>
      <c r="Q126" s="45"/>
      <c r="R126" s="45"/>
      <c r="S126" s="45"/>
      <c r="T126" s="45"/>
      <c r="U126" s="45"/>
      <c r="V126" s="45"/>
      <c r="W126" s="45"/>
      <c r="X126" s="45"/>
      <c r="Y126" s="45"/>
      <c r="Z126" s="45"/>
    </row>
    <row r="127" ht="15.75" customHeight="1">
      <c r="A127" s="170" t="s">
        <v>756</v>
      </c>
      <c r="B127" s="45"/>
      <c r="C127" s="45" t="s">
        <v>506</v>
      </c>
      <c r="D127" s="45"/>
      <c r="E127" s="45" t="s">
        <v>757</v>
      </c>
      <c r="F127" s="45"/>
      <c r="G127" s="45"/>
      <c r="H127" s="45"/>
      <c r="I127" s="45"/>
      <c r="J127" s="45"/>
      <c r="K127" s="45"/>
      <c r="L127" s="45"/>
      <c r="M127" s="45"/>
      <c r="N127" s="45"/>
      <c r="O127" s="45"/>
      <c r="P127" s="45"/>
      <c r="Q127" s="45"/>
      <c r="R127" s="45"/>
      <c r="S127" s="45"/>
      <c r="T127" s="45"/>
      <c r="U127" s="45"/>
      <c r="V127" s="45"/>
      <c r="W127" s="45"/>
      <c r="X127" s="45"/>
      <c r="Y127" s="45"/>
      <c r="Z127" s="45"/>
    </row>
    <row r="128" ht="15.75" customHeight="1">
      <c r="A128" s="170" t="s">
        <v>758</v>
      </c>
      <c r="B128" s="45"/>
      <c r="C128" s="45" t="s">
        <v>535</v>
      </c>
      <c r="D128" s="45"/>
      <c r="E128" s="45" t="s">
        <v>759</v>
      </c>
      <c r="F128" s="45"/>
      <c r="G128" s="45"/>
      <c r="H128" s="45"/>
      <c r="I128" s="45"/>
      <c r="J128" s="45"/>
      <c r="K128" s="45"/>
      <c r="L128" s="45"/>
      <c r="M128" s="45"/>
      <c r="N128" s="45"/>
      <c r="O128" s="45"/>
      <c r="P128" s="45"/>
      <c r="Q128" s="45"/>
      <c r="R128" s="45"/>
      <c r="S128" s="45"/>
      <c r="T128" s="45"/>
      <c r="U128" s="45"/>
      <c r="V128" s="45"/>
      <c r="W128" s="45"/>
      <c r="X128" s="45"/>
      <c r="Y128" s="45"/>
      <c r="Z128" s="45"/>
    </row>
    <row r="129" ht="15.75" customHeight="1">
      <c r="A129" s="170" t="s">
        <v>760</v>
      </c>
      <c r="B129" s="45"/>
      <c r="C129" s="45" t="s">
        <v>761</v>
      </c>
      <c r="D129" s="45"/>
      <c r="E129" s="45" t="s">
        <v>762</v>
      </c>
      <c r="F129" s="45"/>
      <c r="G129" s="45"/>
      <c r="H129" s="45"/>
      <c r="I129" s="45"/>
      <c r="J129" s="45"/>
      <c r="K129" s="45"/>
      <c r="L129" s="45"/>
      <c r="M129" s="45"/>
      <c r="N129" s="45"/>
      <c r="O129" s="45"/>
      <c r="P129" s="45"/>
      <c r="Q129" s="45"/>
      <c r="R129" s="45"/>
      <c r="S129" s="45"/>
      <c r="T129" s="45"/>
      <c r="U129" s="45"/>
      <c r="V129" s="45"/>
      <c r="W129" s="45"/>
      <c r="X129" s="45"/>
      <c r="Y129" s="45"/>
      <c r="Z129" s="45"/>
    </row>
    <row r="130" ht="15.75" customHeight="1">
      <c r="A130" s="170" t="s">
        <v>763</v>
      </c>
      <c r="B130" s="45"/>
      <c r="C130" s="45" t="s">
        <v>764</v>
      </c>
      <c r="D130" s="45"/>
      <c r="E130" s="45" t="s">
        <v>765</v>
      </c>
      <c r="F130" s="45"/>
      <c r="G130" s="45"/>
      <c r="H130" s="45"/>
      <c r="I130" s="45"/>
      <c r="J130" s="45"/>
      <c r="K130" s="45"/>
      <c r="L130" s="45"/>
      <c r="M130" s="45"/>
      <c r="N130" s="45"/>
      <c r="O130" s="45"/>
      <c r="P130" s="45"/>
      <c r="Q130" s="45"/>
      <c r="R130" s="45"/>
      <c r="S130" s="45"/>
      <c r="T130" s="45"/>
      <c r="U130" s="45"/>
      <c r="V130" s="45"/>
      <c r="W130" s="45"/>
      <c r="X130" s="45"/>
      <c r="Y130" s="45"/>
      <c r="Z130" s="45"/>
    </row>
    <row r="131" ht="15.75" customHeight="1">
      <c r="A131" s="170" t="s">
        <v>766</v>
      </c>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ht="15.75" customHeight="1">
      <c r="A132" s="170" t="s">
        <v>767</v>
      </c>
      <c r="B132" s="45"/>
      <c r="C132" s="45" t="s">
        <v>768</v>
      </c>
      <c r="D132" s="45"/>
      <c r="E132" s="171" t="s">
        <v>769</v>
      </c>
      <c r="F132" s="45"/>
      <c r="G132" s="45"/>
      <c r="H132" s="45"/>
      <c r="I132" s="45"/>
      <c r="J132" s="45"/>
      <c r="K132" s="45"/>
      <c r="L132" s="45"/>
      <c r="M132" s="45"/>
      <c r="N132" s="45"/>
      <c r="O132" s="45"/>
      <c r="P132" s="45"/>
      <c r="Q132" s="45"/>
      <c r="R132" s="45"/>
      <c r="S132" s="45"/>
      <c r="T132" s="45"/>
      <c r="U132" s="45"/>
      <c r="V132" s="45"/>
      <c r="W132" s="45"/>
      <c r="X132" s="45"/>
      <c r="Y132" s="45"/>
      <c r="Z132" s="45"/>
    </row>
    <row r="133" ht="15.75" customHeight="1">
      <c r="A133" s="45"/>
      <c r="B133" s="45"/>
      <c r="C133" s="45"/>
      <c r="D133" s="45"/>
      <c r="E133" s="172" t="s">
        <v>770</v>
      </c>
      <c r="F133" s="45"/>
      <c r="G133" s="45"/>
      <c r="H133" s="45"/>
      <c r="I133" s="45"/>
      <c r="J133" s="45"/>
      <c r="K133" s="45"/>
      <c r="L133" s="45"/>
      <c r="M133" s="45"/>
      <c r="N133" s="45"/>
      <c r="O133" s="45"/>
      <c r="P133" s="45"/>
      <c r="Q133" s="45"/>
      <c r="R133" s="45"/>
      <c r="S133" s="45"/>
      <c r="T133" s="45"/>
      <c r="U133" s="45"/>
      <c r="V133" s="45"/>
      <c r="W133" s="45"/>
      <c r="X133" s="45"/>
      <c r="Y133" s="45"/>
      <c r="Z133" s="45"/>
    </row>
    <row r="134" ht="15.75" customHeight="1">
      <c r="A134" s="45"/>
      <c r="B134" s="45"/>
      <c r="C134" s="45"/>
      <c r="D134" s="45"/>
      <c r="E134" s="172" t="s">
        <v>771</v>
      </c>
      <c r="F134" s="45"/>
      <c r="G134" s="45"/>
      <c r="H134" s="45"/>
      <c r="I134" s="45"/>
      <c r="J134" s="45"/>
      <c r="K134" s="45"/>
      <c r="L134" s="45"/>
      <c r="M134" s="45"/>
      <c r="N134" s="45"/>
      <c r="O134" s="45"/>
      <c r="P134" s="45"/>
      <c r="Q134" s="45"/>
      <c r="R134" s="45"/>
      <c r="S134" s="45"/>
      <c r="T134" s="45"/>
      <c r="U134" s="45"/>
      <c r="V134" s="45"/>
      <c r="W134" s="45"/>
      <c r="X134" s="45"/>
      <c r="Y134" s="45"/>
      <c r="Z134" s="45"/>
    </row>
    <row r="135" ht="15.75" customHeight="1">
      <c r="A135" s="45"/>
      <c r="B135" s="45"/>
      <c r="C135" s="45"/>
      <c r="D135" s="45"/>
      <c r="E135" s="172" t="s">
        <v>772</v>
      </c>
      <c r="F135" s="45"/>
      <c r="G135" s="45"/>
      <c r="H135" s="45"/>
      <c r="I135" s="45"/>
      <c r="J135" s="45"/>
      <c r="K135" s="45"/>
      <c r="L135" s="45"/>
      <c r="M135" s="45"/>
      <c r="N135" s="45"/>
      <c r="O135" s="45"/>
      <c r="P135" s="45"/>
      <c r="Q135" s="45"/>
      <c r="R135" s="45"/>
      <c r="S135" s="45"/>
      <c r="T135" s="45"/>
      <c r="U135" s="45"/>
      <c r="V135" s="45"/>
      <c r="W135" s="45"/>
      <c r="X135" s="45"/>
      <c r="Y135" s="45"/>
      <c r="Z135" s="45"/>
    </row>
    <row r="136" ht="15.75" customHeight="1">
      <c r="A136" s="45"/>
      <c r="B136" s="45"/>
      <c r="C136" s="45"/>
      <c r="D136" s="45"/>
      <c r="E136" s="172" t="s">
        <v>773</v>
      </c>
      <c r="F136" s="45"/>
      <c r="G136" s="45"/>
      <c r="H136" s="45"/>
      <c r="I136" s="45"/>
      <c r="J136" s="45"/>
      <c r="K136" s="45"/>
      <c r="L136" s="45"/>
      <c r="M136" s="45"/>
      <c r="N136" s="45"/>
      <c r="O136" s="45"/>
      <c r="P136" s="45"/>
      <c r="Q136" s="45"/>
      <c r="R136" s="45"/>
      <c r="S136" s="45"/>
      <c r="T136" s="45"/>
      <c r="U136" s="45"/>
      <c r="V136" s="45"/>
      <c r="W136" s="45"/>
      <c r="X136" s="45"/>
      <c r="Y136" s="45"/>
      <c r="Z136" s="45"/>
    </row>
    <row r="137" ht="15.75" customHeight="1">
      <c r="A137" s="147" t="s">
        <v>774</v>
      </c>
      <c r="B137" s="45"/>
      <c r="C137" s="45"/>
      <c r="D137" s="45"/>
      <c r="E137" s="172" t="s">
        <v>775</v>
      </c>
      <c r="F137" s="45"/>
      <c r="G137" s="45"/>
      <c r="H137" s="45"/>
      <c r="I137" s="45"/>
      <c r="J137" s="45"/>
      <c r="K137" s="45"/>
      <c r="L137" s="45"/>
      <c r="M137" s="45"/>
      <c r="N137" s="45"/>
      <c r="O137" s="45"/>
      <c r="P137" s="45"/>
      <c r="Q137" s="45"/>
      <c r="R137" s="45"/>
      <c r="S137" s="45"/>
      <c r="T137" s="45"/>
      <c r="U137" s="45"/>
      <c r="V137" s="45"/>
      <c r="W137" s="45"/>
      <c r="X137" s="45"/>
      <c r="Y137" s="45"/>
      <c r="Z137" s="45"/>
    </row>
    <row r="138" ht="15.75" customHeight="1">
      <c r="A138" s="173" t="s">
        <v>776</v>
      </c>
      <c r="B138" s="45"/>
      <c r="C138" s="45"/>
      <c r="D138" s="45"/>
      <c r="E138" s="172" t="s">
        <v>777</v>
      </c>
      <c r="F138" s="45"/>
      <c r="G138" s="45"/>
      <c r="H138" s="45"/>
      <c r="I138" s="45"/>
      <c r="J138" s="45"/>
      <c r="K138" s="45"/>
      <c r="L138" s="45"/>
      <c r="M138" s="45"/>
      <c r="N138" s="45"/>
      <c r="O138" s="45"/>
      <c r="P138" s="45"/>
      <c r="Q138" s="45"/>
      <c r="R138" s="45"/>
      <c r="S138" s="45"/>
      <c r="T138" s="45"/>
      <c r="U138" s="45"/>
      <c r="V138" s="45"/>
      <c r="W138" s="45"/>
      <c r="X138" s="45"/>
      <c r="Y138" s="45"/>
      <c r="Z138" s="45"/>
    </row>
    <row r="139" ht="15.75" customHeight="1">
      <c r="A139" s="174" t="s">
        <v>778</v>
      </c>
      <c r="B139" s="45"/>
      <c r="C139" s="45"/>
      <c r="D139" s="45"/>
      <c r="E139" s="172" t="s">
        <v>779</v>
      </c>
      <c r="F139" s="45"/>
      <c r="G139" s="45"/>
      <c r="H139" s="45"/>
      <c r="I139" s="45"/>
      <c r="J139" s="45"/>
      <c r="K139" s="45"/>
      <c r="L139" s="45"/>
      <c r="M139" s="45"/>
      <c r="N139" s="45"/>
      <c r="O139" s="45"/>
      <c r="P139" s="45"/>
      <c r="Q139" s="45"/>
      <c r="R139" s="45"/>
      <c r="S139" s="45"/>
      <c r="T139" s="45"/>
      <c r="U139" s="45"/>
      <c r="V139" s="45"/>
      <c r="W139" s="45"/>
      <c r="X139" s="45"/>
      <c r="Y139" s="45"/>
      <c r="Z139" s="45"/>
    </row>
    <row r="140" ht="15.75" customHeight="1">
      <c r="A140" s="173" t="s">
        <v>780</v>
      </c>
      <c r="B140" s="45"/>
      <c r="C140" s="171" t="s">
        <v>781</v>
      </c>
      <c r="D140" s="45"/>
      <c r="E140" s="172"/>
      <c r="F140" s="45"/>
      <c r="G140" s="45"/>
      <c r="H140" s="45"/>
      <c r="I140" s="45"/>
      <c r="J140" s="45"/>
      <c r="K140" s="45"/>
      <c r="L140" s="45"/>
      <c r="M140" s="45"/>
      <c r="N140" s="45"/>
      <c r="O140" s="45"/>
      <c r="P140" s="45"/>
      <c r="Q140" s="45"/>
      <c r="R140" s="45"/>
      <c r="S140" s="45"/>
      <c r="T140" s="45"/>
      <c r="U140" s="45"/>
      <c r="V140" s="45"/>
      <c r="W140" s="45"/>
      <c r="X140" s="45"/>
      <c r="Y140" s="45"/>
      <c r="Z140" s="45"/>
    </row>
    <row r="141" ht="15.75" customHeight="1">
      <c r="A141" s="175" t="s">
        <v>782</v>
      </c>
      <c r="B141" s="45"/>
      <c r="C141" s="147" t="s">
        <v>783</v>
      </c>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ht="15.75" customHeight="1">
      <c r="A142" s="173" t="s">
        <v>784</v>
      </c>
      <c r="B142" s="45"/>
      <c r="C142" s="45" t="s">
        <v>524</v>
      </c>
      <c r="D142" s="45"/>
      <c r="E142" s="146" t="s">
        <v>785</v>
      </c>
      <c r="F142" s="45"/>
      <c r="G142" s="45"/>
      <c r="H142" s="45"/>
      <c r="I142" s="45"/>
      <c r="J142" s="45"/>
      <c r="K142" s="45"/>
      <c r="L142" s="45"/>
      <c r="M142" s="45"/>
      <c r="N142" s="45"/>
      <c r="O142" s="45"/>
      <c r="P142" s="45"/>
      <c r="Q142" s="45"/>
      <c r="R142" s="45"/>
      <c r="S142" s="45"/>
      <c r="T142" s="45"/>
      <c r="U142" s="45"/>
      <c r="V142" s="45"/>
      <c r="W142" s="45"/>
      <c r="X142" s="45"/>
      <c r="Y142" s="45"/>
      <c r="Z142" s="45"/>
    </row>
    <row r="143" ht="15.75" customHeight="1">
      <c r="A143" s="174" t="s">
        <v>786</v>
      </c>
      <c r="B143" s="45"/>
      <c r="C143" s="45" t="s">
        <v>497</v>
      </c>
      <c r="D143" s="45"/>
      <c r="E143" s="143" t="s">
        <v>491</v>
      </c>
      <c r="F143" s="45"/>
      <c r="G143" s="45"/>
      <c r="H143" s="45"/>
      <c r="I143" s="45"/>
      <c r="J143" s="45"/>
      <c r="K143" s="45"/>
      <c r="L143" s="45"/>
      <c r="M143" s="45"/>
      <c r="N143" s="45"/>
      <c r="O143" s="45"/>
      <c r="P143" s="45"/>
      <c r="Q143" s="45"/>
      <c r="R143" s="45"/>
      <c r="S143" s="45"/>
      <c r="T143" s="45"/>
      <c r="U143" s="45"/>
      <c r="V143" s="45"/>
      <c r="W143" s="45"/>
      <c r="X143" s="45"/>
      <c r="Y143" s="45"/>
      <c r="Z143" s="45"/>
    </row>
    <row r="144" ht="15.75" customHeight="1">
      <c r="A144" s="173" t="s">
        <v>787</v>
      </c>
      <c r="B144" s="45"/>
      <c r="C144" s="147" t="s">
        <v>788</v>
      </c>
      <c r="D144" s="45"/>
      <c r="E144" s="143" t="s">
        <v>789</v>
      </c>
      <c r="F144" s="45"/>
      <c r="G144" s="45"/>
      <c r="H144" s="45"/>
      <c r="I144" s="45"/>
      <c r="J144" s="45"/>
      <c r="K144" s="45"/>
      <c r="L144" s="45"/>
      <c r="M144" s="45"/>
      <c r="N144" s="45"/>
      <c r="O144" s="45"/>
      <c r="P144" s="45"/>
      <c r="Q144" s="45"/>
      <c r="R144" s="45"/>
      <c r="S144" s="45"/>
      <c r="T144" s="45"/>
      <c r="U144" s="45"/>
      <c r="V144" s="45"/>
      <c r="W144" s="45"/>
      <c r="X144" s="45"/>
      <c r="Y144" s="45"/>
      <c r="Z144" s="45"/>
    </row>
    <row r="145" ht="15.75" customHeight="1">
      <c r="A145" s="174" t="s">
        <v>790</v>
      </c>
      <c r="B145" s="45"/>
      <c r="C145" s="147" t="s">
        <v>791</v>
      </c>
      <c r="D145" s="45"/>
      <c r="E145" s="143" t="s">
        <v>792</v>
      </c>
      <c r="F145" s="45"/>
      <c r="G145" s="45"/>
      <c r="H145" s="45"/>
      <c r="I145" s="45"/>
      <c r="J145" s="45"/>
      <c r="K145" s="45"/>
      <c r="L145" s="45"/>
      <c r="M145" s="45"/>
      <c r="N145" s="45"/>
      <c r="O145" s="45"/>
      <c r="P145" s="45"/>
      <c r="Q145" s="45"/>
      <c r="R145" s="45"/>
      <c r="S145" s="45"/>
      <c r="T145" s="45"/>
      <c r="U145" s="45"/>
      <c r="V145" s="45"/>
      <c r="W145" s="45"/>
      <c r="X145" s="45"/>
      <c r="Y145" s="45"/>
      <c r="Z145" s="45"/>
    </row>
    <row r="146" ht="15.75" customHeight="1">
      <c r="A146" s="173" t="s">
        <v>793</v>
      </c>
      <c r="B146" s="45"/>
      <c r="C146" s="147" t="s">
        <v>794</v>
      </c>
      <c r="D146" s="45"/>
      <c r="E146" s="143" t="s">
        <v>795</v>
      </c>
      <c r="F146" s="45"/>
      <c r="G146" s="45"/>
      <c r="H146" s="45"/>
      <c r="I146" s="45"/>
      <c r="J146" s="45"/>
      <c r="K146" s="45"/>
      <c r="L146" s="45"/>
      <c r="M146" s="45"/>
      <c r="N146" s="45"/>
      <c r="O146" s="45"/>
      <c r="P146" s="45"/>
      <c r="Q146" s="45"/>
      <c r="R146" s="45"/>
      <c r="S146" s="45"/>
      <c r="T146" s="45"/>
      <c r="U146" s="45"/>
      <c r="V146" s="45"/>
      <c r="W146" s="45"/>
      <c r="X146" s="45"/>
      <c r="Y146" s="45"/>
      <c r="Z146" s="45"/>
    </row>
    <row r="147" ht="15.75" customHeight="1">
      <c r="A147" s="176" t="s">
        <v>796</v>
      </c>
      <c r="B147" s="45"/>
      <c r="C147" s="147" t="s">
        <v>797</v>
      </c>
      <c r="D147" s="45"/>
      <c r="E147" s="143" t="s">
        <v>798</v>
      </c>
      <c r="F147" s="45"/>
      <c r="G147" s="45"/>
      <c r="H147" s="45"/>
      <c r="I147" s="45"/>
      <c r="J147" s="45"/>
      <c r="K147" s="45"/>
      <c r="L147" s="45"/>
      <c r="M147" s="45"/>
      <c r="N147" s="45"/>
      <c r="O147" s="45"/>
      <c r="P147" s="45"/>
      <c r="Q147" s="45"/>
      <c r="R147" s="45"/>
      <c r="S147" s="45"/>
      <c r="T147" s="45"/>
      <c r="U147" s="45"/>
      <c r="V147" s="45"/>
      <c r="W147" s="45"/>
      <c r="X147" s="45"/>
      <c r="Y147" s="45"/>
      <c r="Z147" s="45"/>
    </row>
    <row r="148" ht="15.75" customHeight="1">
      <c r="A148" s="173" t="s">
        <v>799</v>
      </c>
      <c r="B148" s="45"/>
      <c r="C148" s="147" t="s">
        <v>800</v>
      </c>
      <c r="D148" s="45"/>
      <c r="E148" s="143" t="s">
        <v>801</v>
      </c>
      <c r="F148" s="45"/>
      <c r="G148" s="45"/>
      <c r="H148" s="45"/>
      <c r="I148" s="45"/>
      <c r="J148" s="45"/>
      <c r="K148" s="45"/>
      <c r="L148" s="45"/>
      <c r="M148" s="45"/>
      <c r="N148" s="45"/>
      <c r="O148" s="45"/>
      <c r="P148" s="45"/>
      <c r="Q148" s="45"/>
      <c r="R148" s="45"/>
      <c r="S148" s="45"/>
      <c r="T148" s="45"/>
      <c r="U148" s="45"/>
      <c r="V148" s="45"/>
      <c r="W148" s="45"/>
      <c r="X148" s="45"/>
      <c r="Y148" s="45"/>
      <c r="Z148" s="45"/>
    </row>
    <row r="149" ht="15.75" customHeight="1">
      <c r="A149" s="174" t="s">
        <v>802</v>
      </c>
      <c r="B149" s="45"/>
      <c r="C149" s="147" t="s">
        <v>803</v>
      </c>
      <c r="D149" s="45"/>
      <c r="E149" s="143" t="s">
        <v>804</v>
      </c>
      <c r="F149" s="45"/>
      <c r="G149" s="45"/>
      <c r="H149" s="45"/>
      <c r="I149" s="45"/>
      <c r="J149" s="45"/>
      <c r="K149" s="45"/>
      <c r="L149" s="45"/>
      <c r="M149" s="45"/>
      <c r="N149" s="45"/>
      <c r="O149" s="45"/>
      <c r="P149" s="45"/>
      <c r="Q149" s="45"/>
      <c r="R149" s="45"/>
      <c r="S149" s="45"/>
      <c r="T149" s="45"/>
      <c r="U149" s="45"/>
      <c r="V149" s="45"/>
      <c r="W149" s="45"/>
      <c r="X149" s="45"/>
      <c r="Y149" s="45"/>
      <c r="Z149" s="45"/>
    </row>
    <row r="150" ht="15.75" customHeight="1">
      <c r="A150" s="173" t="s">
        <v>805</v>
      </c>
      <c r="B150" s="45"/>
      <c r="C150" s="147"/>
      <c r="D150" s="45"/>
      <c r="E150" s="143" t="s">
        <v>806</v>
      </c>
      <c r="F150" s="45"/>
      <c r="G150" s="45"/>
      <c r="H150" s="45"/>
      <c r="I150" s="45"/>
      <c r="J150" s="45"/>
      <c r="K150" s="45"/>
      <c r="L150" s="45"/>
      <c r="M150" s="45"/>
      <c r="N150" s="45"/>
      <c r="O150" s="45"/>
      <c r="P150" s="147"/>
      <c r="Q150" s="45"/>
      <c r="R150" s="45"/>
      <c r="S150" s="45"/>
      <c r="T150" s="45"/>
      <c r="U150" s="45"/>
      <c r="V150" s="45"/>
      <c r="W150" s="45"/>
      <c r="X150" s="45"/>
      <c r="Y150" s="45"/>
      <c r="Z150" s="45"/>
    </row>
    <row r="151" ht="15.75" customHeight="1">
      <c r="A151" s="174" t="s">
        <v>807</v>
      </c>
      <c r="B151" s="45"/>
      <c r="C151" s="147"/>
      <c r="D151" s="45"/>
      <c r="E151" s="126" t="s">
        <v>510</v>
      </c>
      <c r="F151" s="45"/>
      <c r="G151" s="45"/>
      <c r="H151" s="45"/>
      <c r="I151" s="45"/>
      <c r="J151" s="45"/>
      <c r="K151" s="45"/>
      <c r="L151" s="45"/>
      <c r="M151" s="45"/>
      <c r="N151" s="45"/>
      <c r="O151" s="45"/>
      <c r="P151" s="147"/>
      <c r="Q151" s="45"/>
      <c r="R151" s="45"/>
      <c r="S151" s="45"/>
      <c r="T151" s="45"/>
      <c r="U151" s="45"/>
      <c r="V151" s="45"/>
      <c r="W151" s="45"/>
      <c r="X151" s="45"/>
      <c r="Y151" s="45"/>
      <c r="Z151" s="45"/>
    </row>
    <row r="152" ht="15.75" customHeight="1">
      <c r="A152" s="173" t="s">
        <v>808</v>
      </c>
      <c r="B152" s="45"/>
      <c r="C152" s="147"/>
      <c r="D152" s="45"/>
      <c r="E152" s="143" t="s">
        <v>809</v>
      </c>
      <c r="F152" s="45"/>
      <c r="G152" s="45"/>
      <c r="H152" s="45"/>
      <c r="I152" s="45"/>
      <c r="J152" s="45"/>
      <c r="K152" s="45"/>
      <c r="L152" s="45"/>
      <c r="M152" s="45"/>
      <c r="N152" s="45"/>
      <c r="O152" s="45"/>
      <c r="P152" s="147"/>
      <c r="Q152" s="45"/>
      <c r="R152" s="45"/>
      <c r="S152" s="45"/>
      <c r="T152" s="45"/>
      <c r="U152" s="45"/>
      <c r="V152" s="45"/>
      <c r="W152" s="45"/>
      <c r="X152" s="45"/>
      <c r="Y152" s="45"/>
      <c r="Z152" s="45"/>
    </row>
    <row r="153" ht="15.75" customHeight="1">
      <c r="A153" s="174" t="s">
        <v>810</v>
      </c>
      <c r="B153" s="45"/>
      <c r="D153" s="45"/>
      <c r="E153" s="143" t="s">
        <v>811</v>
      </c>
      <c r="F153" s="45"/>
      <c r="G153" s="45"/>
      <c r="H153" s="45"/>
      <c r="I153" s="45"/>
      <c r="J153" s="45"/>
      <c r="K153" s="45"/>
      <c r="L153" s="45"/>
      <c r="M153" s="45"/>
      <c r="N153" s="45"/>
      <c r="O153" s="45"/>
      <c r="P153" s="147"/>
      <c r="Q153" s="45"/>
      <c r="R153" s="45"/>
      <c r="S153" s="45"/>
      <c r="T153" s="45"/>
      <c r="U153" s="45"/>
      <c r="V153" s="45"/>
      <c r="W153" s="45"/>
      <c r="X153" s="45"/>
      <c r="Y153" s="45"/>
      <c r="Z153" s="45"/>
    </row>
    <row r="154" ht="15.75" customHeight="1">
      <c r="A154" s="173" t="s">
        <v>812</v>
      </c>
      <c r="B154" s="45"/>
      <c r="C154" s="45"/>
      <c r="D154" s="45"/>
      <c r="E154" s="143" t="s">
        <v>813</v>
      </c>
      <c r="F154" s="45"/>
      <c r="G154" s="45"/>
      <c r="H154" s="45"/>
      <c r="I154" s="45"/>
      <c r="J154" s="45"/>
      <c r="K154" s="45"/>
      <c r="L154" s="45"/>
      <c r="M154" s="45"/>
      <c r="N154" s="45"/>
      <c r="O154" s="45"/>
      <c r="P154" s="147"/>
      <c r="Q154" s="45"/>
      <c r="R154" s="45"/>
      <c r="S154" s="45"/>
      <c r="T154" s="45"/>
      <c r="U154" s="45"/>
      <c r="V154" s="45"/>
      <c r="W154" s="45"/>
      <c r="X154" s="45"/>
      <c r="Y154" s="45"/>
      <c r="Z154" s="45"/>
    </row>
    <row r="155" ht="15.75" customHeight="1">
      <c r="A155" s="177" t="s">
        <v>814</v>
      </c>
      <c r="B155" s="45"/>
      <c r="C155" s="45"/>
      <c r="D155" s="45"/>
      <c r="E155" s="143" t="s">
        <v>815</v>
      </c>
      <c r="F155" s="45"/>
      <c r="G155" s="45"/>
      <c r="H155" s="45"/>
      <c r="I155" s="45"/>
      <c r="J155" s="45"/>
      <c r="K155" s="45"/>
      <c r="L155" s="45"/>
      <c r="M155" s="45"/>
      <c r="N155" s="45"/>
      <c r="O155" s="45"/>
      <c r="P155" s="45"/>
      <c r="Q155" s="45"/>
      <c r="R155" s="45"/>
      <c r="S155" s="45"/>
      <c r="T155" s="45"/>
      <c r="U155" s="45"/>
      <c r="V155" s="45"/>
      <c r="W155" s="45"/>
      <c r="X155" s="45"/>
      <c r="Y155" s="45"/>
      <c r="Z155" s="45"/>
    </row>
    <row r="156" ht="15.75" customHeight="1">
      <c r="A156" s="173" t="s">
        <v>816</v>
      </c>
      <c r="B156" s="45"/>
      <c r="C156" s="45"/>
      <c r="D156" s="45"/>
      <c r="E156" s="178" t="s">
        <v>817</v>
      </c>
      <c r="F156" s="45"/>
      <c r="G156" s="45"/>
      <c r="H156" s="45"/>
      <c r="I156" s="45"/>
      <c r="J156" s="45"/>
      <c r="K156" s="45"/>
      <c r="L156" s="45"/>
      <c r="M156" s="45"/>
      <c r="N156" s="45"/>
      <c r="O156" s="45"/>
      <c r="P156" s="45"/>
      <c r="Q156" s="45"/>
      <c r="R156" s="45"/>
      <c r="S156" s="45"/>
      <c r="T156" s="45"/>
      <c r="U156" s="45"/>
      <c r="V156" s="45"/>
      <c r="W156" s="45"/>
      <c r="X156" s="45"/>
      <c r="Y156" s="45"/>
      <c r="Z156" s="45"/>
    </row>
    <row r="157" ht="15.75" customHeight="1">
      <c r="A157" s="174" t="s">
        <v>818</v>
      </c>
      <c r="B157" s="45"/>
      <c r="C157" s="45"/>
      <c r="D157" s="45"/>
      <c r="E157" s="143" t="s">
        <v>819</v>
      </c>
      <c r="F157" s="45"/>
      <c r="G157" s="45"/>
      <c r="H157" s="45"/>
      <c r="I157" s="45"/>
      <c r="J157" s="45"/>
      <c r="K157" s="45"/>
      <c r="L157" s="45"/>
      <c r="M157" s="45"/>
      <c r="N157" s="45"/>
      <c r="O157" s="45"/>
      <c r="P157" s="45"/>
      <c r="Q157" s="45"/>
      <c r="R157" s="45"/>
      <c r="S157" s="45"/>
      <c r="T157" s="45"/>
      <c r="U157" s="45"/>
      <c r="V157" s="45"/>
      <c r="W157" s="45"/>
      <c r="X157" s="45"/>
      <c r="Y157" s="45"/>
      <c r="Z157" s="45"/>
    </row>
    <row r="158" ht="15.75" customHeight="1">
      <c r="B158" s="45"/>
      <c r="C158" s="45"/>
      <c r="D158" s="45"/>
      <c r="E158" s="143" t="s">
        <v>820</v>
      </c>
      <c r="F158" s="45"/>
      <c r="G158" s="45"/>
      <c r="H158" s="45"/>
      <c r="I158" s="45"/>
      <c r="J158" s="45"/>
      <c r="K158" s="45"/>
      <c r="L158" s="45"/>
      <c r="M158" s="45"/>
      <c r="N158" s="45"/>
      <c r="O158" s="45"/>
      <c r="P158" s="45"/>
      <c r="Q158" s="45"/>
      <c r="R158" s="45"/>
      <c r="S158" s="45"/>
      <c r="T158" s="45"/>
      <c r="U158" s="45"/>
      <c r="V158" s="45"/>
      <c r="W158" s="45"/>
      <c r="X158" s="45"/>
      <c r="Y158" s="45"/>
      <c r="Z158" s="45"/>
    </row>
    <row r="159" ht="15.75" customHeight="1">
      <c r="A159" s="142" t="s">
        <v>821</v>
      </c>
      <c r="B159" s="45"/>
      <c r="C159" s="147" t="s">
        <v>822</v>
      </c>
      <c r="D159" s="45"/>
      <c r="E159" s="143" t="s">
        <v>823</v>
      </c>
      <c r="F159" s="45"/>
      <c r="G159" s="45"/>
      <c r="H159" s="45"/>
      <c r="I159" s="45"/>
      <c r="J159" s="45"/>
      <c r="K159" s="45"/>
      <c r="L159" s="45"/>
      <c r="M159" s="45"/>
      <c r="N159" s="45"/>
      <c r="O159" s="45"/>
      <c r="P159" s="45"/>
      <c r="Q159" s="45"/>
      <c r="R159" s="45"/>
      <c r="S159" s="45"/>
      <c r="T159" s="45"/>
      <c r="U159" s="45"/>
      <c r="V159" s="45"/>
      <c r="W159" s="45"/>
      <c r="X159" s="45"/>
      <c r="Y159" s="45"/>
      <c r="Z159" s="45"/>
    </row>
    <row r="160" ht="15.75" customHeight="1">
      <c r="A160" s="179" t="s">
        <v>824</v>
      </c>
      <c r="B160" s="45"/>
      <c r="C160" s="148" t="s">
        <v>825</v>
      </c>
      <c r="D160" s="45"/>
      <c r="E160" s="143" t="s">
        <v>826</v>
      </c>
      <c r="F160" s="45"/>
      <c r="G160" s="45"/>
      <c r="H160" s="45"/>
      <c r="I160" s="45"/>
      <c r="J160" s="45"/>
      <c r="K160" s="45"/>
      <c r="L160" s="45"/>
      <c r="M160" s="45"/>
      <c r="N160" s="45"/>
      <c r="O160" s="45"/>
      <c r="P160" s="45"/>
      <c r="Q160" s="45"/>
      <c r="R160" s="45"/>
      <c r="S160" s="45"/>
      <c r="T160" s="45"/>
      <c r="U160" s="45"/>
      <c r="V160" s="45"/>
      <c r="W160" s="45"/>
      <c r="X160" s="45"/>
      <c r="Y160" s="45"/>
      <c r="Z160" s="45"/>
    </row>
    <row r="161" ht="15.75" customHeight="1">
      <c r="A161" s="148" t="s">
        <v>827</v>
      </c>
      <c r="B161" s="45"/>
      <c r="C161" s="148" t="s">
        <v>828</v>
      </c>
      <c r="D161" s="45"/>
      <c r="E161" s="143" t="s">
        <v>829</v>
      </c>
      <c r="F161" s="45"/>
      <c r="G161" s="45"/>
      <c r="H161" s="45"/>
      <c r="I161" s="45"/>
      <c r="J161" s="45"/>
      <c r="K161" s="45"/>
      <c r="L161" s="45"/>
      <c r="M161" s="45"/>
      <c r="N161" s="45"/>
      <c r="O161" s="45"/>
      <c r="P161" s="45"/>
      <c r="Q161" s="45"/>
      <c r="R161" s="45"/>
      <c r="S161" s="45"/>
      <c r="T161" s="45"/>
      <c r="U161" s="45"/>
      <c r="V161" s="45"/>
      <c r="W161" s="45"/>
      <c r="X161" s="45"/>
      <c r="Y161" s="45"/>
      <c r="Z161" s="45"/>
    </row>
    <row r="162" ht="15.75" customHeight="1">
      <c r="A162" s="148" t="s">
        <v>830</v>
      </c>
      <c r="B162" s="45"/>
      <c r="C162" s="148" t="s">
        <v>831</v>
      </c>
      <c r="D162" s="45"/>
      <c r="E162" s="143" t="s">
        <v>832</v>
      </c>
      <c r="F162" s="45"/>
      <c r="G162" s="45"/>
      <c r="H162" s="45"/>
      <c r="I162" s="45"/>
      <c r="J162" s="45"/>
      <c r="K162" s="45"/>
      <c r="L162" s="45"/>
      <c r="M162" s="45"/>
      <c r="N162" s="45"/>
      <c r="O162" s="45"/>
      <c r="P162" s="45"/>
      <c r="Q162" s="45"/>
      <c r="R162" s="45"/>
      <c r="S162" s="45"/>
      <c r="T162" s="45"/>
      <c r="U162" s="45"/>
      <c r="V162" s="45"/>
      <c r="W162" s="45"/>
      <c r="X162" s="45"/>
      <c r="Y162" s="45"/>
      <c r="Z162" s="45"/>
    </row>
    <row r="163" ht="15.75" customHeight="1">
      <c r="A163" s="179" t="s">
        <v>833</v>
      </c>
      <c r="B163" s="45"/>
      <c r="C163" s="148" t="s">
        <v>834</v>
      </c>
      <c r="D163" s="45"/>
      <c r="E163" s="147" t="s">
        <v>835</v>
      </c>
      <c r="F163" s="45"/>
      <c r="G163" s="45"/>
      <c r="H163" s="45"/>
      <c r="I163" s="45"/>
      <c r="J163" s="45"/>
      <c r="K163" s="45"/>
      <c r="L163" s="45"/>
      <c r="M163" s="45"/>
      <c r="N163" s="45"/>
      <c r="O163" s="45"/>
      <c r="P163" s="45"/>
      <c r="Q163" s="45"/>
      <c r="R163" s="45"/>
      <c r="S163" s="45"/>
      <c r="T163" s="45"/>
      <c r="U163" s="45"/>
      <c r="V163" s="45"/>
      <c r="W163" s="45"/>
      <c r="X163" s="45"/>
      <c r="Y163" s="45"/>
      <c r="Z163" s="45"/>
    </row>
    <row r="164" ht="15.75" customHeight="1">
      <c r="A164" s="148" t="s">
        <v>836</v>
      </c>
      <c r="B164" s="45"/>
      <c r="C164" s="148" t="s">
        <v>837</v>
      </c>
      <c r="D164" s="45"/>
      <c r="E164" s="147"/>
      <c r="F164" s="45"/>
      <c r="G164" s="45"/>
      <c r="H164" s="45"/>
      <c r="I164" s="45"/>
      <c r="J164" s="45"/>
      <c r="K164" s="45"/>
      <c r="L164" s="45"/>
      <c r="M164" s="45"/>
      <c r="N164" s="45"/>
      <c r="O164" s="45"/>
      <c r="P164" s="45"/>
      <c r="Q164" s="45"/>
      <c r="R164" s="45"/>
      <c r="S164" s="45"/>
      <c r="T164" s="45"/>
      <c r="U164" s="45"/>
      <c r="V164" s="45"/>
      <c r="W164" s="45"/>
      <c r="X164" s="45"/>
      <c r="Y164" s="45"/>
      <c r="Z164" s="45"/>
    </row>
    <row r="165" ht="15.75" customHeight="1">
      <c r="A165" s="148" t="s">
        <v>838</v>
      </c>
      <c r="B165" s="45"/>
      <c r="C165" s="148" t="s">
        <v>839</v>
      </c>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ht="15.75" customHeight="1">
      <c r="A166" s="148" t="s">
        <v>840</v>
      </c>
      <c r="B166" s="45"/>
      <c r="C166" s="16" t="s">
        <v>841</v>
      </c>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ht="15.75" customHeight="1">
      <c r="A167" s="148" t="s">
        <v>842</v>
      </c>
      <c r="B167" s="45"/>
      <c r="C167" s="16" t="s">
        <v>843</v>
      </c>
      <c r="D167" s="45"/>
      <c r="E167" s="147" t="s">
        <v>844</v>
      </c>
      <c r="F167" s="45"/>
      <c r="G167" s="45"/>
      <c r="H167" s="45"/>
      <c r="I167" s="45"/>
      <c r="J167" s="45"/>
      <c r="K167" s="45"/>
      <c r="L167" s="45"/>
      <c r="M167" s="45"/>
      <c r="N167" s="45"/>
      <c r="O167" s="45"/>
      <c r="P167" s="45"/>
      <c r="Q167" s="45"/>
      <c r="R167" s="45"/>
      <c r="S167" s="45"/>
      <c r="T167" s="45"/>
      <c r="U167" s="45"/>
      <c r="V167" s="45"/>
      <c r="W167" s="45"/>
      <c r="X167" s="45"/>
      <c r="Y167" s="45"/>
      <c r="Z167" s="45"/>
    </row>
    <row r="168" ht="15.75" customHeight="1">
      <c r="A168" s="143" t="s">
        <v>845</v>
      </c>
      <c r="B168" s="45"/>
      <c r="C168" s="45"/>
      <c r="D168" s="45"/>
      <c r="E168" s="45" t="s">
        <v>492</v>
      </c>
      <c r="F168" s="45"/>
      <c r="G168" s="45"/>
      <c r="H168" s="45"/>
      <c r="I168" s="45"/>
      <c r="J168" s="45"/>
      <c r="K168" s="45"/>
      <c r="L168" s="45"/>
      <c r="M168" s="45"/>
      <c r="N168" s="45"/>
      <c r="O168" s="45"/>
      <c r="P168" s="45"/>
      <c r="Q168" s="45"/>
      <c r="R168" s="45"/>
      <c r="S168" s="45"/>
      <c r="T168" s="45"/>
      <c r="U168" s="45"/>
      <c r="V168" s="45"/>
      <c r="W168" s="45"/>
      <c r="X168" s="45"/>
      <c r="Y168" s="45"/>
      <c r="Z168" s="45"/>
    </row>
    <row r="169" ht="15.75" customHeight="1">
      <c r="A169" s="45"/>
      <c r="B169" s="45"/>
      <c r="C169" s="45"/>
      <c r="D169" s="45"/>
      <c r="E169" s="45" t="s">
        <v>846</v>
      </c>
      <c r="F169" s="45"/>
      <c r="G169" s="45"/>
      <c r="H169" s="45"/>
      <c r="I169" s="45"/>
      <c r="J169" s="45"/>
      <c r="K169" s="45"/>
      <c r="L169" s="45"/>
      <c r="M169" s="45"/>
      <c r="N169" s="45"/>
      <c r="O169" s="45"/>
      <c r="P169" s="45"/>
      <c r="Q169" s="45"/>
      <c r="R169" s="45"/>
      <c r="S169" s="45"/>
      <c r="T169" s="45"/>
      <c r="U169" s="45"/>
      <c r="V169" s="45"/>
      <c r="W169" s="45"/>
      <c r="X169" s="45"/>
      <c r="Y169" s="45"/>
      <c r="Z169" s="45"/>
    </row>
    <row r="170" ht="15.75" customHeight="1">
      <c r="A170" s="147" t="s">
        <v>847</v>
      </c>
      <c r="B170" s="45"/>
      <c r="C170" s="45"/>
      <c r="D170" s="45"/>
      <c r="E170" s="45" t="s">
        <v>848</v>
      </c>
      <c r="F170" s="45"/>
      <c r="G170" s="45"/>
      <c r="H170" s="45"/>
      <c r="I170" s="45"/>
      <c r="J170" s="45"/>
      <c r="K170" s="45"/>
      <c r="L170" s="45"/>
      <c r="M170" s="45"/>
      <c r="N170" s="45"/>
      <c r="O170" s="45"/>
      <c r="P170" s="45"/>
      <c r="Q170" s="45"/>
      <c r="R170" s="45"/>
      <c r="S170" s="45"/>
      <c r="T170" s="45"/>
      <c r="U170" s="45"/>
      <c r="V170" s="45"/>
      <c r="W170" s="45"/>
      <c r="X170" s="45"/>
      <c r="Y170" s="45"/>
      <c r="Z170" s="45"/>
    </row>
    <row r="171" ht="15.75" customHeight="1">
      <c r="A171" s="45"/>
      <c r="B171" s="45"/>
      <c r="C171" s="45"/>
      <c r="D171" s="45"/>
      <c r="E171" s="45" t="s">
        <v>849</v>
      </c>
      <c r="F171" s="45"/>
      <c r="G171" s="45"/>
      <c r="H171" s="45"/>
      <c r="I171" s="45"/>
      <c r="J171" s="45"/>
      <c r="K171" s="45"/>
      <c r="L171" s="45"/>
      <c r="M171" s="45"/>
      <c r="N171" s="45"/>
      <c r="O171" s="45"/>
      <c r="P171" s="45"/>
      <c r="Q171" s="45"/>
      <c r="R171" s="45"/>
      <c r="S171" s="45"/>
      <c r="T171" s="45"/>
      <c r="U171" s="45"/>
      <c r="V171" s="45"/>
      <c r="W171" s="45"/>
      <c r="X171" s="45"/>
      <c r="Y171" s="45"/>
      <c r="Z171" s="45"/>
    </row>
    <row r="172" ht="15.75" customHeight="1">
      <c r="A172" s="45" t="s">
        <v>850</v>
      </c>
      <c r="B172" s="45"/>
      <c r="C172" s="45"/>
      <c r="D172" s="45"/>
      <c r="E172" s="45" t="s">
        <v>851</v>
      </c>
      <c r="F172" s="45"/>
      <c r="G172" s="45"/>
      <c r="H172" s="45"/>
      <c r="I172" s="45"/>
      <c r="J172" s="45"/>
      <c r="K172" s="45"/>
      <c r="L172" s="45"/>
      <c r="M172" s="45"/>
      <c r="N172" s="45"/>
      <c r="O172" s="45"/>
      <c r="P172" s="45"/>
      <c r="Q172" s="45"/>
      <c r="R172" s="45"/>
      <c r="S172" s="45"/>
      <c r="T172" s="45"/>
      <c r="U172" s="45"/>
      <c r="V172" s="45"/>
      <c r="W172" s="45"/>
      <c r="X172" s="45"/>
      <c r="Y172" s="45"/>
      <c r="Z172" s="45"/>
    </row>
    <row r="173" ht="15.75" customHeight="1">
      <c r="A173" s="45" t="s">
        <v>852</v>
      </c>
      <c r="B173" s="45"/>
      <c r="C173" s="45"/>
      <c r="D173" s="45"/>
      <c r="E173" s="45" t="s">
        <v>853</v>
      </c>
      <c r="F173" s="45"/>
      <c r="G173" s="45"/>
      <c r="H173" s="45"/>
      <c r="I173" s="45"/>
      <c r="J173" s="45"/>
      <c r="K173" s="45"/>
      <c r="L173" s="45"/>
      <c r="M173" s="45"/>
      <c r="N173" s="45"/>
      <c r="O173" s="45"/>
      <c r="P173" s="45"/>
      <c r="Q173" s="45"/>
      <c r="R173" s="45"/>
      <c r="S173" s="45"/>
      <c r="T173" s="45"/>
      <c r="U173" s="45"/>
      <c r="V173" s="45"/>
      <c r="W173" s="45"/>
      <c r="X173" s="45"/>
      <c r="Y173" s="45"/>
      <c r="Z173" s="45"/>
    </row>
    <row r="174" ht="15.75" customHeight="1">
      <c r="A174" s="45"/>
      <c r="B174" s="45"/>
      <c r="C174" s="45"/>
      <c r="D174" s="45"/>
      <c r="E174" s="45" t="s">
        <v>854</v>
      </c>
      <c r="F174" s="45"/>
      <c r="G174" s="45"/>
      <c r="H174" s="45"/>
      <c r="I174" s="45"/>
      <c r="J174" s="45"/>
      <c r="K174" s="45"/>
      <c r="L174" s="45"/>
      <c r="M174" s="45"/>
      <c r="N174" s="45"/>
      <c r="O174" s="45"/>
      <c r="P174" s="45"/>
      <c r="Q174" s="45"/>
      <c r="R174" s="45"/>
      <c r="S174" s="45"/>
      <c r="T174" s="45"/>
      <c r="U174" s="45"/>
      <c r="V174" s="45"/>
      <c r="W174" s="45"/>
      <c r="X174" s="45"/>
      <c r="Y174" s="45"/>
      <c r="Z174" s="45"/>
    </row>
    <row r="175" ht="15.75" customHeight="1">
      <c r="A175" s="45" t="s">
        <v>855</v>
      </c>
      <c r="B175" s="45"/>
      <c r="C175" s="45"/>
      <c r="D175" s="45"/>
      <c r="E175" s="45" t="s">
        <v>856</v>
      </c>
      <c r="F175" s="45"/>
      <c r="G175" s="45"/>
      <c r="H175" s="45"/>
      <c r="I175" s="45"/>
      <c r="J175" s="45"/>
      <c r="K175" s="45"/>
      <c r="L175" s="45"/>
      <c r="M175" s="45"/>
      <c r="N175" s="45"/>
      <c r="O175" s="45"/>
      <c r="P175" s="45"/>
      <c r="Q175" s="45"/>
      <c r="R175" s="45"/>
      <c r="S175" s="45"/>
      <c r="T175" s="45"/>
      <c r="U175" s="45"/>
      <c r="V175" s="45"/>
      <c r="W175" s="45"/>
      <c r="X175" s="45"/>
      <c r="Y175" s="45"/>
      <c r="Z175" s="45"/>
    </row>
    <row r="176" ht="15.75" customHeight="1">
      <c r="A176" s="45" t="s">
        <v>852</v>
      </c>
      <c r="B176" s="45"/>
      <c r="C176" s="45"/>
      <c r="D176" s="45"/>
      <c r="E176" s="45" t="s">
        <v>857</v>
      </c>
      <c r="F176" s="45"/>
      <c r="G176" s="45"/>
      <c r="H176" s="45"/>
      <c r="I176" s="45"/>
      <c r="J176" s="45"/>
      <c r="K176" s="45"/>
      <c r="L176" s="45"/>
      <c r="M176" s="45"/>
      <c r="N176" s="45"/>
      <c r="O176" s="45"/>
      <c r="P176" s="45"/>
      <c r="Q176" s="45"/>
      <c r="R176" s="45"/>
      <c r="S176" s="45"/>
      <c r="T176" s="45"/>
      <c r="U176" s="45"/>
      <c r="V176" s="45"/>
      <c r="W176" s="45"/>
      <c r="X176" s="45"/>
      <c r="Y176" s="45"/>
      <c r="Z176" s="45"/>
    </row>
    <row r="177" ht="15.75" customHeight="1">
      <c r="A177" s="45" t="s">
        <v>858</v>
      </c>
      <c r="B177" s="45"/>
      <c r="C177" s="45"/>
      <c r="D177" s="45"/>
      <c r="E177" s="45" t="s">
        <v>859</v>
      </c>
      <c r="F177" s="45"/>
      <c r="G177" s="45"/>
      <c r="H177" s="45"/>
      <c r="I177" s="45"/>
      <c r="J177" s="45"/>
      <c r="K177" s="45"/>
      <c r="L177" s="45"/>
      <c r="M177" s="45"/>
      <c r="N177" s="45"/>
      <c r="O177" s="45"/>
      <c r="P177" s="45"/>
      <c r="Q177" s="45"/>
      <c r="R177" s="45"/>
      <c r="S177" s="45"/>
      <c r="T177" s="45"/>
      <c r="U177" s="45"/>
      <c r="V177" s="45"/>
      <c r="W177" s="45"/>
      <c r="X177" s="45"/>
      <c r="Y177" s="45"/>
      <c r="Z177" s="45"/>
    </row>
    <row r="178"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ht="15.75" customHeight="1">
      <c r="A179" s="45" t="s">
        <v>860</v>
      </c>
      <c r="B179" s="45"/>
      <c r="C179" s="45"/>
      <c r="D179" s="45"/>
      <c r="E179" s="147" t="s">
        <v>861</v>
      </c>
      <c r="F179" s="45"/>
      <c r="G179" s="45"/>
      <c r="H179" s="45"/>
      <c r="I179" s="45"/>
      <c r="J179" s="45"/>
      <c r="K179" s="45"/>
      <c r="L179" s="45"/>
      <c r="M179" s="45"/>
      <c r="N179" s="45"/>
      <c r="O179" s="45"/>
      <c r="P179" s="45"/>
      <c r="Q179" s="45"/>
      <c r="R179" s="45"/>
      <c r="S179" s="45"/>
      <c r="T179" s="45"/>
      <c r="U179" s="45"/>
      <c r="V179" s="45"/>
      <c r="W179" s="45"/>
      <c r="X179" s="45"/>
      <c r="Y179" s="45"/>
      <c r="Z179" s="45"/>
    </row>
    <row r="180" ht="15.75" customHeight="1">
      <c r="A180" s="45"/>
      <c r="B180" s="45"/>
      <c r="C180" s="45"/>
      <c r="D180" s="45"/>
      <c r="E180" s="147" t="s">
        <v>862</v>
      </c>
      <c r="F180" s="45"/>
      <c r="G180" s="45"/>
      <c r="H180" s="45"/>
      <c r="I180" s="45"/>
      <c r="J180" s="45"/>
      <c r="K180" s="45"/>
      <c r="L180" s="45"/>
      <c r="M180" s="45"/>
      <c r="N180" s="45"/>
      <c r="O180" s="45"/>
      <c r="P180" s="45"/>
      <c r="Q180" s="45"/>
      <c r="R180" s="45"/>
      <c r="S180" s="45"/>
      <c r="T180" s="45"/>
      <c r="U180" s="45"/>
      <c r="V180" s="45"/>
      <c r="W180" s="45"/>
      <c r="X180" s="45"/>
      <c r="Y180" s="45"/>
      <c r="Z180" s="45"/>
    </row>
    <row r="181"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ht="15.75" customHeight="1">
      <c r="A183" s="45"/>
      <c r="B183" s="45"/>
      <c r="C183" s="45"/>
      <c r="D183" s="45"/>
      <c r="E183" s="146" t="s">
        <v>863</v>
      </c>
      <c r="F183" s="45"/>
      <c r="G183" s="45"/>
      <c r="H183" s="45"/>
      <c r="I183" s="45"/>
      <c r="J183" s="45"/>
      <c r="K183" s="45"/>
      <c r="L183" s="45"/>
      <c r="M183" s="45"/>
      <c r="N183" s="45"/>
      <c r="O183" s="45"/>
      <c r="P183" s="45"/>
      <c r="Q183" s="45"/>
      <c r="R183" s="45"/>
      <c r="S183" s="45"/>
      <c r="T183" s="45"/>
      <c r="U183" s="45"/>
      <c r="V183" s="45"/>
      <c r="W183" s="45"/>
      <c r="X183" s="45"/>
      <c r="Y183" s="45"/>
      <c r="Z183" s="45"/>
    </row>
    <row r="184" ht="15.75" customHeight="1">
      <c r="A184" s="147" t="s">
        <v>864</v>
      </c>
      <c r="B184" s="45"/>
      <c r="C184" s="45"/>
      <c r="D184" s="45"/>
      <c r="E184" s="147" t="s">
        <v>865</v>
      </c>
      <c r="F184" s="45"/>
      <c r="G184" s="45"/>
      <c r="H184" s="45"/>
      <c r="I184" s="45"/>
      <c r="J184" s="45"/>
      <c r="K184" s="45"/>
      <c r="L184" s="45"/>
      <c r="M184" s="45"/>
      <c r="N184" s="45"/>
      <c r="O184" s="45"/>
      <c r="P184" s="45"/>
      <c r="Q184" s="45"/>
      <c r="R184" s="45"/>
      <c r="S184" s="45"/>
      <c r="T184" s="45"/>
      <c r="U184" s="45"/>
      <c r="V184" s="45"/>
      <c r="W184" s="45"/>
      <c r="X184" s="45"/>
      <c r="Y184" s="45"/>
      <c r="Z184" s="45"/>
    </row>
    <row r="185" ht="15.75" customHeight="1">
      <c r="A185" s="45"/>
      <c r="B185" s="45"/>
      <c r="C185" s="45"/>
      <c r="D185" s="45"/>
      <c r="E185" s="143" t="s">
        <v>866</v>
      </c>
      <c r="F185" s="45"/>
      <c r="G185" s="45"/>
      <c r="H185" s="45"/>
      <c r="I185" s="45"/>
      <c r="J185" s="45"/>
      <c r="K185" s="45"/>
      <c r="L185" s="45"/>
      <c r="M185" s="45"/>
      <c r="N185" s="45"/>
      <c r="O185" s="45"/>
      <c r="P185" s="45"/>
      <c r="Q185" s="45"/>
      <c r="R185" s="45"/>
      <c r="S185" s="45"/>
      <c r="T185" s="45"/>
      <c r="U185" s="45"/>
      <c r="V185" s="45"/>
      <c r="W185" s="45"/>
      <c r="X185" s="45"/>
      <c r="Y185" s="45"/>
      <c r="Z185" s="45"/>
    </row>
    <row r="186" ht="15.75" customHeight="1">
      <c r="A186" s="147" t="s">
        <v>867</v>
      </c>
      <c r="B186" s="45"/>
      <c r="C186" s="45"/>
      <c r="D186" s="45"/>
      <c r="E186" s="143" t="s">
        <v>868</v>
      </c>
      <c r="F186" s="45"/>
      <c r="G186" s="45"/>
      <c r="H186" s="45"/>
      <c r="I186" s="45"/>
      <c r="J186" s="45"/>
      <c r="K186" s="45"/>
      <c r="L186" s="45"/>
      <c r="M186" s="45"/>
      <c r="N186" s="45"/>
      <c r="O186" s="45"/>
      <c r="P186" s="45"/>
      <c r="Q186" s="45"/>
      <c r="R186" s="45"/>
      <c r="S186" s="45"/>
      <c r="T186" s="45"/>
      <c r="U186" s="45"/>
      <c r="V186" s="45"/>
      <c r="W186" s="45"/>
      <c r="X186" s="45"/>
      <c r="Y186" s="45"/>
      <c r="Z186" s="45"/>
    </row>
    <row r="187" ht="15.75" customHeight="1">
      <c r="A187" s="45" t="s">
        <v>869</v>
      </c>
      <c r="B187" s="45"/>
      <c r="C187" s="180" t="s">
        <v>870</v>
      </c>
      <c r="D187" s="45"/>
      <c r="E187" s="143" t="s">
        <v>795</v>
      </c>
      <c r="F187" s="45"/>
      <c r="G187" s="45"/>
      <c r="H187" s="45"/>
      <c r="I187" s="45"/>
      <c r="J187" s="45"/>
      <c r="K187" s="45"/>
      <c r="L187" s="45"/>
      <c r="M187" s="45"/>
      <c r="N187" s="45"/>
      <c r="O187" s="45"/>
      <c r="P187" s="45"/>
      <c r="Q187" s="45"/>
      <c r="R187" s="45"/>
      <c r="S187" s="45"/>
      <c r="T187" s="45"/>
      <c r="U187" s="45"/>
      <c r="V187" s="45"/>
      <c r="W187" s="45"/>
      <c r="X187" s="45"/>
      <c r="Y187" s="45"/>
      <c r="Z187" s="45"/>
    </row>
    <row r="188" ht="15.75" customHeight="1">
      <c r="A188" s="45" t="s">
        <v>871</v>
      </c>
      <c r="B188" s="45"/>
      <c r="C188" s="181" t="s">
        <v>872</v>
      </c>
      <c r="D188" s="45"/>
      <c r="E188" s="143" t="s">
        <v>798</v>
      </c>
      <c r="F188" s="45"/>
      <c r="G188" s="45"/>
      <c r="H188" s="45"/>
      <c r="I188" s="45"/>
      <c r="J188" s="45"/>
      <c r="K188" s="45"/>
      <c r="L188" s="45"/>
      <c r="M188" s="45"/>
      <c r="N188" s="45"/>
      <c r="O188" s="45"/>
      <c r="P188" s="45"/>
      <c r="Q188" s="45"/>
      <c r="R188" s="45"/>
      <c r="S188" s="45"/>
      <c r="T188" s="45"/>
      <c r="U188" s="45"/>
      <c r="V188" s="45"/>
      <c r="W188" s="45"/>
      <c r="X188" s="45"/>
      <c r="Y188" s="45"/>
      <c r="Z188" s="45"/>
    </row>
    <row r="189" ht="15.75" customHeight="1">
      <c r="A189" s="45" t="s">
        <v>873</v>
      </c>
      <c r="B189" s="45"/>
      <c r="C189" s="181" t="s">
        <v>874</v>
      </c>
      <c r="D189" s="45"/>
      <c r="E189" s="143" t="s">
        <v>801</v>
      </c>
      <c r="F189" s="45"/>
      <c r="G189" s="45"/>
      <c r="H189" s="45"/>
      <c r="I189" s="45"/>
      <c r="J189" s="45"/>
      <c r="K189" s="45"/>
      <c r="L189" s="45"/>
      <c r="M189" s="45"/>
      <c r="N189" s="45"/>
      <c r="O189" s="45"/>
      <c r="P189" s="45"/>
      <c r="Q189" s="45"/>
      <c r="R189" s="45"/>
      <c r="S189" s="45"/>
      <c r="T189" s="45"/>
      <c r="U189" s="45"/>
      <c r="V189" s="45"/>
      <c r="W189" s="45"/>
      <c r="X189" s="45"/>
      <c r="Y189" s="45"/>
      <c r="Z189" s="45"/>
    </row>
    <row r="190" ht="15.75" customHeight="1">
      <c r="A190" s="45" t="s">
        <v>875</v>
      </c>
      <c r="B190" s="45"/>
      <c r="C190" s="181" t="s">
        <v>876</v>
      </c>
      <c r="D190" s="45"/>
      <c r="E190" s="143" t="s">
        <v>804</v>
      </c>
      <c r="F190" s="45"/>
      <c r="G190" s="45"/>
      <c r="H190" s="45"/>
      <c r="I190" s="45"/>
      <c r="J190" s="45"/>
      <c r="K190" s="45"/>
      <c r="L190" s="45"/>
      <c r="M190" s="45"/>
      <c r="N190" s="45"/>
      <c r="O190" s="45"/>
      <c r="P190" s="45"/>
      <c r="Q190" s="45"/>
      <c r="R190" s="45"/>
      <c r="S190" s="45"/>
      <c r="T190" s="45"/>
      <c r="U190" s="45"/>
      <c r="V190" s="45"/>
      <c r="W190" s="45"/>
      <c r="X190" s="45"/>
      <c r="Y190" s="45"/>
      <c r="Z190" s="45"/>
    </row>
    <row r="191" ht="15.75" customHeight="1">
      <c r="A191" s="45" t="s">
        <v>877</v>
      </c>
      <c r="B191" s="45"/>
      <c r="C191" s="147" t="s">
        <v>878</v>
      </c>
      <c r="D191" s="45"/>
      <c r="E191" s="143" t="s">
        <v>806</v>
      </c>
      <c r="F191" s="45"/>
      <c r="G191" s="45"/>
      <c r="H191" s="45"/>
      <c r="I191" s="45"/>
      <c r="J191" s="45"/>
      <c r="K191" s="45"/>
      <c r="L191" s="45"/>
      <c r="M191" s="45"/>
      <c r="N191" s="45"/>
      <c r="O191" s="45"/>
      <c r="P191" s="45"/>
      <c r="Q191" s="45"/>
      <c r="R191" s="45"/>
      <c r="S191" s="45"/>
      <c r="T191" s="45"/>
      <c r="U191" s="45"/>
      <c r="V191" s="45"/>
      <c r="W191" s="45"/>
      <c r="X191" s="45"/>
      <c r="Y191" s="45"/>
      <c r="Z191" s="45"/>
    </row>
    <row r="192" ht="15.75" customHeight="1">
      <c r="A192" s="45"/>
      <c r="B192" s="45"/>
      <c r="C192" s="181" t="s">
        <v>683</v>
      </c>
      <c r="D192" s="45"/>
      <c r="E192" s="126" t="s">
        <v>510</v>
      </c>
      <c r="F192" s="45"/>
      <c r="G192" s="45"/>
      <c r="H192" s="45"/>
      <c r="I192" s="45"/>
      <c r="J192" s="45"/>
      <c r="K192" s="45"/>
      <c r="L192" s="45"/>
      <c r="M192" s="45"/>
      <c r="N192" s="45"/>
      <c r="O192" s="45"/>
      <c r="P192" s="45"/>
      <c r="Q192" s="45"/>
      <c r="R192" s="45"/>
      <c r="S192" s="45"/>
      <c r="T192" s="45"/>
      <c r="U192" s="45"/>
      <c r="V192" s="45"/>
      <c r="W192" s="45"/>
      <c r="X192" s="45"/>
      <c r="Y192" s="45"/>
      <c r="Z192" s="45"/>
    </row>
    <row r="193" ht="15.75" customHeight="1">
      <c r="A193" s="45" t="s">
        <v>879</v>
      </c>
      <c r="B193" s="45"/>
      <c r="C193" s="181" t="s">
        <v>880</v>
      </c>
      <c r="D193" s="45"/>
      <c r="E193" s="143" t="s">
        <v>809</v>
      </c>
      <c r="F193" s="45"/>
      <c r="G193" s="45"/>
      <c r="H193" s="45"/>
      <c r="I193" s="45"/>
      <c r="J193" s="45"/>
      <c r="K193" s="45"/>
      <c r="L193" s="45"/>
      <c r="M193" s="45"/>
      <c r="N193" s="45"/>
      <c r="O193" s="45"/>
      <c r="P193" s="45"/>
      <c r="Q193" s="45"/>
      <c r="R193" s="45"/>
      <c r="S193" s="45"/>
      <c r="T193" s="45"/>
      <c r="U193" s="45"/>
      <c r="V193" s="45"/>
      <c r="W193" s="45"/>
      <c r="X193" s="45"/>
      <c r="Y193" s="45"/>
      <c r="Z193" s="45"/>
    </row>
    <row r="194" ht="15.75" customHeight="1">
      <c r="A194" s="45"/>
      <c r="B194" s="45"/>
      <c r="C194" s="181" t="s">
        <v>881</v>
      </c>
      <c r="D194" s="45"/>
      <c r="E194" s="143" t="s">
        <v>811</v>
      </c>
      <c r="F194" s="45"/>
      <c r="G194" s="45"/>
      <c r="H194" s="45"/>
      <c r="I194" s="45"/>
      <c r="J194" s="45"/>
      <c r="K194" s="45"/>
      <c r="L194" s="45"/>
      <c r="M194" s="45"/>
      <c r="N194" s="45"/>
      <c r="O194" s="45"/>
      <c r="P194" s="45"/>
      <c r="Q194" s="45"/>
      <c r="R194" s="45"/>
      <c r="S194" s="45"/>
      <c r="T194" s="45"/>
      <c r="U194" s="45"/>
      <c r="V194" s="45"/>
      <c r="W194" s="45"/>
      <c r="X194" s="45"/>
      <c r="Y194" s="45"/>
      <c r="Z194" s="45"/>
    </row>
    <row r="195" ht="15.75" customHeight="1">
      <c r="A195" s="45" t="s">
        <v>882</v>
      </c>
      <c r="B195" s="45"/>
      <c r="C195" s="148" t="s">
        <v>883</v>
      </c>
      <c r="D195" s="45"/>
      <c r="E195" s="143" t="s">
        <v>813</v>
      </c>
      <c r="F195" s="45"/>
      <c r="G195" s="45"/>
      <c r="H195" s="45"/>
      <c r="I195" s="45"/>
      <c r="J195" s="45"/>
      <c r="K195" s="45"/>
      <c r="L195" s="45"/>
      <c r="M195" s="45"/>
      <c r="N195" s="45"/>
      <c r="O195" s="45"/>
      <c r="P195" s="45"/>
      <c r="Q195" s="45"/>
      <c r="R195" s="45"/>
      <c r="S195" s="45"/>
      <c r="T195" s="45"/>
      <c r="U195" s="45"/>
      <c r="V195" s="45"/>
      <c r="W195" s="45"/>
      <c r="X195" s="45"/>
      <c r="Y195" s="45"/>
      <c r="Z195" s="45"/>
    </row>
    <row r="196" ht="15.75" customHeight="1">
      <c r="A196" s="147" t="s">
        <v>884</v>
      </c>
      <c r="B196" s="45"/>
      <c r="C196" s="181"/>
      <c r="D196" s="45"/>
      <c r="E196" s="143" t="s">
        <v>815</v>
      </c>
      <c r="F196" s="45"/>
      <c r="G196" s="45"/>
      <c r="H196" s="45"/>
      <c r="I196" s="45"/>
      <c r="J196" s="45"/>
      <c r="K196" s="45"/>
      <c r="L196" s="45"/>
      <c r="M196" s="45"/>
      <c r="N196" s="45"/>
      <c r="O196" s="45"/>
      <c r="P196" s="45"/>
      <c r="Q196" s="45"/>
      <c r="R196" s="45"/>
      <c r="S196" s="45"/>
      <c r="T196" s="45"/>
      <c r="U196" s="45"/>
      <c r="V196" s="45"/>
      <c r="W196" s="45"/>
      <c r="X196" s="45"/>
      <c r="Y196" s="45"/>
      <c r="Z196" s="45"/>
    </row>
    <row r="197" ht="15.75" customHeight="1">
      <c r="A197" s="147" t="s">
        <v>885</v>
      </c>
      <c r="B197" s="45"/>
      <c r="D197" s="45"/>
      <c r="E197" s="178" t="s">
        <v>817</v>
      </c>
      <c r="F197" s="45"/>
      <c r="G197" s="45"/>
      <c r="H197" s="45"/>
      <c r="I197" s="45"/>
      <c r="J197" s="45"/>
      <c r="K197" s="45"/>
      <c r="L197" s="45"/>
      <c r="M197" s="45"/>
      <c r="N197" s="45"/>
      <c r="O197" s="45"/>
      <c r="P197" s="45"/>
      <c r="Q197" s="45"/>
      <c r="R197" s="45"/>
      <c r="S197" s="45"/>
      <c r="T197" s="45"/>
      <c r="U197" s="45"/>
      <c r="V197" s="45"/>
      <c r="W197" s="45"/>
      <c r="X197" s="45"/>
      <c r="Y197" s="45"/>
      <c r="Z197" s="45"/>
    </row>
    <row r="198" ht="15.75" customHeight="1">
      <c r="A198" s="45"/>
      <c r="B198" s="45"/>
      <c r="D198" s="45"/>
      <c r="E198" s="143" t="s">
        <v>819</v>
      </c>
      <c r="F198" s="45"/>
      <c r="G198" s="45"/>
      <c r="H198" s="45"/>
      <c r="I198" s="45"/>
      <c r="J198" s="45"/>
      <c r="K198" s="45"/>
      <c r="L198" s="45"/>
      <c r="M198" s="45"/>
      <c r="N198" s="45"/>
      <c r="O198" s="45"/>
      <c r="P198" s="45"/>
      <c r="Q198" s="45"/>
      <c r="R198" s="45"/>
      <c r="S198" s="45"/>
      <c r="T198" s="45"/>
      <c r="U198" s="45"/>
      <c r="V198" s="45"/>
      <c r="W198" s="45"/>
      <c r="X198" s="45"/>
      <c r="Y198" s="45"/>
      <c r="Z198" s="45"/>
    </row>
    <row r="199" ht="15.75" customHeight="1">
      <c r="A199" s="45" t="s">
        <v>886</v>
      </c>
      <c r="B199" s="45"/>
      <c r="D199" s="45"/>
      <c r="E199" s="143" t="s">
        <v>820</v>
      </c>
      <c r="F199" s="45"/>
      <c r="G199" s="45"/>
      <c r="H199" s="45"/>
      <c r="I199" s="45"/>
      <c r="J199" s="45"/>
      <c r="K199" s="45"/>
      <c r="L199" s="45"/>
      <c r="M199" s="45"/>
      <c r="N199" s="45"/>
      <c r="O199" s="45"/>
      <c r="P199" s="45"/>
      <c r="Q199" s="45"/>
      <c r="R199" s="45"/>
      <c r="S199" s="45"/>
      <c r="T199" s="45"/>
      <c r="U199" s="45"/>
      <c r="V199" s="45"/>
      <c r="W199" s="45"/>
      <c r="X199" s="45"/>
      <c r="Y199" s="45"/>
      <c r="Z199" s="45"/>
    </row>
    <row r="200" ht="15.75" customHeight="1">
      <c r="A200" s="45" t="s">
        <v>887</v>
      </c>
      <c r="B200" s="45"/>
      <c r="D200" s="45"/>
      <c r="E200" s="143" t="s">
        <v>823</v>
      </c>
      <c r="F200" s="45"/>
      <c r="G200" s="45"/>
      <c r="H200" s="45"/>
      <c r="I200" s="45"/>
      <c r="J200" s="45"/>
      <c r="K200" s="45"/>
      <c r="L200" s="45"/>
      <c r="M200" s="45"/>
      <c r="N200" s="45"/>
      <c r="O200" s="45"/>
      <c r="P200" s="45"/>
      <c r="Q200" s="45"/>
      <c r="R200" s="45"/>
      <c r="S200" s="45"/>
      <c r="T200" s="45"/>
      <c r="U200" s="45"/>
      <c r="V200" s="45"/>
      <c r="W200" s="45"/>
      <c r="X200" s="45"/>
      <c r="Y200" s="45"/>
      <c r="Z200" s="45"/>
    </row>
    <row r="201" ht="15.75" customHeight="1">
      <c r="A201" s="45" t="s">
        <v>888</v>
      </c>
      <c r="B201" s="45"/>
      <c r="C201" s="45"/>
      <c r="D201" s="45"/>
      <c r="E201" s="147" t="s">
        <v>889</v>
      </c>
      <c r="F201" s="45"/>
      <c r="G201" s="45"/>
      <c r="H201" s="45"/>
      <c r="I201" s="45"/>
      <c r="J201" s="45"/>
      <c r="K201" s="45"/>
      <c r="L201" s="45"/>
      <c r="M201" s="45"/>
      <c r="N201" s="45"/>
      <c r="O201" s="45"/>
      <c r="P201" s="45"/>
      <c r="Q201" s="45"/>
      <c r="R201" s="45"/>
      <c r="S201" s="45"/>
      <c r="T201" s="45"/>
      <c r="U201" s="45"/>
      <c r="V201" s="45"/>
      <c r="W201" s="45"/>
      <c r="X201" s="45"/>
      <c r="Y201" s="45"/>
      <c r="Z201" s="45"/>
    </row>
    <row r="202" ht="15.75" customHeight="1">
      <c r="A202" s="45" t="s">
        <v>890</v>
      </c>
      <c r="B202" s="45"/>
      <c r="C202" s="45"/>
      <c r="D202" s="45"/>
      <c r="E202" s="143"/>
      <c r="F202" s="45"/>
      <c r="G202" s="45"/>
      <c r="H202" s="45"/>
      <c r="I202" s="45"/>
      <c r="J202" s="45"/>
      <c r="K202" s="45"/>
      <c r="L202" s="45"/>
      <c r="M202" s="45"/>
      <c r="N202" s="45"/>
      <c r="O202" s="45"/>
      <c r="P202" s="45"/>
      <c r="Q202" s="45"/>
      <c r="R202" s="45"/>
      <c r="S202" s="45"/>
      <c r="T202" s="45"/>
      <c r="U202" s="45"/>
      <c r="V202" s="45"/>
      <c r="W202" s="45"/>
      <c r="X202" s="45"/>
      <c r="Y202" s="45"/>
      <c r="Z202" s="45"/>
    </row>
    <row r="203" ht="15.75" customHeight="1">
      <c r="A203" s="45"/>
      <c r="B203" s="45"/>
      <c r="C203" s="45"/>
      <c r="D203" s="45"/>
      <c r="E203" s="143"/>
      <c r="F203" s="45"/>
      <c r="G203" s="45"/>
      <c r="H203" s="45"/>
      <c r="I203" s="45"/>
      <c r="J203" s="45"/>
      <c r="K203" s="45"/>
      <c r="L203" s="45"/>
      <c r="M203" s="45"/>
      <c r="N203" s="45"/>
      <c r="O203" s="45"/>
      <c r="P203" s="45"/>
      <c r="Q203" s="45"/>
      <c r="R203" s="45"/>
      <c r="S203" s="45"/>
      <c r="T203" s="45"/>
      <c r="U203" s="45"/>
      <c r="V203" s="45"/>
      <c r="W203" s="45"/>
      <c r="X203" s="45"/>
      <c r="Y203" s="45"/>
      <c r="Z203" s="45"/>
    </row>
    <row r="204" ht="15.75" customHeight="1">
      <c r="A204" s="45" t="s">
        <v>891</v>
      </c>
      <c r="B204" s="45"/>
      <c r="C204" s="45"/>
      <c r="D204" s="45"/>
      <c r="F204" s="45"/>
      <c r="G204" s="45"/>
      <c r="H204" s="45"/>
      <c r="I204" s="45"/>
      <c r="J204" s="45"/>
      <c r="K204" s="45"/>
      <c r="L204" s="45"/>
      <c r="M204" s="45"/>
      <c r="N204" s="45"/>
      <c r="O204" s="45"/>
      <c r="P204" s="45"/>
      <c r="Q204" s="45"/>
      <c r="R204" s="45"/>
      <c r="S204" s="45"/>
      <c r="T204" s="45"/>
      <c r="U204" s="45"/>
      <c r="V204" s="45"/>
      <c r="W204" s="45"/>
      <c r="X204" s="45"/>
      <c r="Y204" s="45"/>
      <c r="Z204" s="45"/>
    </row>
    <row r="205" ht="15.75" customHeight="1">
      <c r="A205" s="45"/>
      <c r="B205" s="45"/>
      <c r="C205" s="45"/>
      <c r="D205" s="45"/>
      <c r="E205" s="147"/>
      <c r="F205" s="45"/>
      <c r="G205" s="45"/>
      <c r="H205" s="45"/>
      <c r="I205" s="45"/>
      <c r="J205" s="45"/>
      <c r="K205" s="45"/>
      <c r="L205" s="45"/>
      <c r="M205" s="45"/>
      <c r="N205" s="45"/>
      <c r="O205" s="45"/>
      <c r="P205" s="45"/>
      <c r="Q205" s="45"/>
      <c r="R205" s="45"/>
      <c r="S205" s="45"/>
      <c r="T205" s="45"/>
      <c r="U205" s="45"/>
      <c r="V205" s="45"/>
      <c r="W205" s="45"/>
      <c r="X205" s="45"/>
      <c r="Y205" s="45"/>
      <c r="Z205" s="45"/>
    </row>
    <row r="206" ht="15.75" customHeight="1">
      <c r="A206" s="45" t="s">
        <v>892</v>
      </c>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ht="15.75" customHeight="1">
      <c r="A207" s="45" t="s">
        <v>893</v>
      </c>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ht="15.75" customHeight="1">
      <c r="A210" s="45" t="s">
        <v>894</v>
      </c>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ht="15.75" customHeight="1">
      <c r="A211" s="45" t="s">
        <v>895</v>
      </c>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ht="15.75" customHeight="1">
      <c r="A212" s="45" t="s">
        <v>896</v>
      </c>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ht="15.75" customHeight="1">
      <c r="A214" s="45" t="s">
        <v>897</v>
      </c>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ht="15.75" customHeight="1">
      <c r="A216" s="45" t="s">
        <v>898</v>
      </c>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ht="15.75" customHeight="1">
      <c r="A218" s="45" t="s">
        <v>899</v>
      </c>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ht="15.75" customHeight="1">
      <c r="A220" s="45" t="s">
        <v>900</v>
      </c>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ht="15.75" customHeight="1">
      <c r="A223" s="45" t="s">
        <v>901</v>
      </c>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ht="15.75" customHeight="1">
      <c r="A225" s="45" t="s">
        <v>902</v>
      </c>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ht="15.75" customHeight="1">
      <c r="A227" s="45" t="s">
        <v>903</v>
      </c>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ht="15.75" customHeight="1">
      <c r="A229" s="45" t="s">
        <v>904</v>
      </c>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ht="15.75" customHeight="1">
      <c r="A232" s="45" t="s">
        <v>905</v>
      </c>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ht="15.75" customHeight="1">
      <c r="A235" s="45" t="s">
        <v>906</v>
      </c>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ht="15.75" customHeight="1">
      <c r="A238" s="45" t="s">
        <v>907</v>
      </c>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ht="15.75" customHeight="1">
      <c r="A240" s="45" t="s">
        <v>908</v>
      </c>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ht="15.75" customHeight="1">
      <c r="A243" s="45" t="s">
        <v>909</v>
      </c>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ht="15.75" customHeight="1">
      <c r="A246" s="45" t="s">
        <v>910</v>
      </c>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ht="15.75" customHeight="1">
      <c r="A249" s="45" t="s">
        <v>911</v>
      </c>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ht="15.75" customHeight="1">
      <c r="A251" s="45" t="s">
        <v>912</v>
      </c>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ht="15.75" customHeight="1">
      <c r="A253" s="45" t="s">
        <v>913</v>
      </c>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ht="15.75" customHeight="1">
      <c r="A255" s="45" t="s">
        <v>914</v>
      </c>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ht="15.75" customHeight="1">
      <c r="A258" s="45" t="s">
        <v>125</v>
      </c>
      <c r="B258" s="45"/>
      <c r="C258" s="182" t="s">
        <v>915</v>
      </c>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ht="15.75" customHeight="1">
      <c r="A259" s="45"/>
      <c r="B259" s="45"/>
      <c r="C259" s="183"/>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ht="15.75" customHeight="1">
      <c r="A260" s="45"/>
      <c r="B260" s="45"/>
      <c r="C260" s="184" t="s">
        <v>916</v>
      </c>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ht="15.75" customHeight="1">
      <c r="A261" s="45" t="s">
        <v>917</v>
      </c>
      <c r="B261" s="45"/>
      <c r="C261" s="184" t="s">
        <v>918</v>
      </c>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ht="15.75" customHeight="1">
      <c r="A262" s="45"/>
      <c r="B262" s="45"/>
      <c r="C262" s="184" t="s">
        <v>919</v>
      </c>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ht="15.75" customHeight="1">
      <c r="A263" s="45"/>
      <c r="B263" s="45"/>
      <c r="C263" s="184" t="s">
        <v>920</v>
      </c>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ht="15.75" customHeight="1">
      <c r="A264" s="45" t="s">
        <v>921</v>
      </c>
      <c r="B264" s="45"/>
      <c r="C264" s="184" t="s">
        <v>922</v>
      </c>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ht="15.75" customHeight="1">
      <c r="A265" s="45"/>
      <c r="B265" s="45"/>
      <c r="C265" s="184" t="s">
        <v>923</v>
      </c>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ht="15.75" customHeight="1">
      <c r="A266" s="45"/>
      <c r="B266" s="45"/>
      <c r="C266" s="184" t="s">
        <v>924</v>
      </c>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ht="15.75" customHeight="1">
      <c r="A267" s="45" t="s">
        <v>925</v>
      </c>
      <c r="B267" s="45"/>
      <c r="C267" s="184" t="s">
        <v>926</v>
      </c>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ht="15.75" customHeight="1">
      <c r="A268" s="45"/>
      <c r="B268" s="45"/>
      <c r="C268" s="184" t="s">
        <v>926</v>
      </c>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ht="15.75" customHeight="1">
      <c r="A269" s="45"/>
      <c r="B269" s="45"/>
      <c r="C269" s="184" t="s">
        <v>927</v>
      </c>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ht="15.75" customHeight="1">
      <c r="A270" s="45" t="s">
        <v>928</v>
      </c>
      <c r="B270" s="45"/>
      <c r="C270" s="184" t="s">
        <v>929</v>
      </c>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ht="15.75" customHeight="1">
      <c r="A271" s="45"/>
      <c r="B271" s="45"/>
      <c r="C271" s="184" t="s">
        <v>930</v>
      </c>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ht="15.75" customHeight="1">
      <c r="A272" s="45" t="s">
        <v>931</v>
      </c>
      <c r="B272" s="45"/>
      <c r="C272" s="184" t="s">
        <v>932</v>
      </c>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ht="15.75" customHeight="1">
      <c r="A273" s="45"/>
      <c r="B273" s="45"/>
      <c r="C273" s="184" t="s">
        <v>933</v>
      </c>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ht="15.75" customHeight="1">
      <c r="A275" s="45" t="s">
        <v>934</v>
      </c>
      <c r="B275" s="45"/>
      <c r="C275" s="182" t="s">
        <v>935</v>
      </c>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ht="15.75" customHeight="1">
      <c r="A276" s="45"/>
      <c r="B276" s="45"/>
      <c r="C276" s="183"/>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ht="15.75" customHeight="1">
      <c r="A277" s="45"/>
      <c r="B277" s="45"/>
      <c r="C277" s="184" t="s">
        <v>936</v>
      </c>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ht="15.75" customHeight="1">
      <c r="A278" s="45" t="s">
        <v>937</v>
      </c>
      <c r="B278" s="45"/>
      <c r="C278" s="184"/>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ht="15.75" customHeight="1">
      <c r="A279" s="45"/>
      <c r="B279" s="45"/>
      <c r="C279" s="184" t="s">
        <v>938</v>
      </c>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ht="15.75" customHeight="1">
      <c r="A280" s="45"/>
      <c r="B280" s="45"/>
      <c r="C280" s="184"/>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ht="15.75" customHeight="1">
      <c r="A281" s="45" t="s">
        <v>939</v>
      </c>
      <c r="B281" s="45"/>
      <c r="C281" s="184" t="s">
        <v>940</v>
      </c>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ht="15.75" customHeight="1">
      <c r="A282" s="45"/>
      <c r="B282" s="45"/>
      <c r="C282" s="184"/>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ht="15.75" customHeight="1">
      <c r="A283" s="45"/>
      <c r="B283" s="45"/>
      <c r="C283" s="184" t="s">
        <v>941</v>
      </c>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ht="15.75" customHeight="1">
      <c r="A284" s="45" t="s">
        <v>942</v>
      </c>
      <c r="B284" s="45"/>
      <c r="C284" s="184"/>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ht="15.75" customHeight="1">
      <c r="A285" s="45"/>
      <c r="B285" s="45"/>
      <c r="C285" s="184" t="s">
        <v>943</v>
      </c>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ht="15.75" customHeight="1">
      <c r="A286" s="45" t="s">
        <v>944</v>
      </c>
      <c r="B286" s="45"/>
      <c r="C286" s="184"/>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ht="15.75" customHeight="1">
      <c r="A287" s="45"/>
      <c r="B287" s="45"/>
      <c r="C287" s="184" t="s">
        <v>945</v>
      </c>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ht="15.75" customHeight="1">
      <c r="A288" s="45"/>
      <c r="B288" s="45"/>
      <c r="C288" s="184"/>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ht="15.75" customHeight="1">
      <c r="A289" s="45" t="s">
        <v>946</v>
      </c>
      <c r="B289" s="45"/>
      <c r="C289" s="184" t="s">
        <v>947</v>
      </c>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ht="15.75" customHeight="1">
      <c r="A290" s="45"/>
      <c r="B290" s="45"/>
      <c r="C290" s="184"/>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ht="15.75" customHeight="1">
      <c r="A291" s="45"/>
      <c r="B291" s="45"/>
      <c r="C291" s="184" t="s">
        <v>948</v>
      </c>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ht="15.75" customHeight="1">
      <c r="A292" s="45" t="s">
        <v>949</v>
      </c>
      <c r="B292" s="45"/>
      <c r="C292" s="184"/>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ht="15.75" customHeight="1">
      <c r="A293" s="45"/>
      <c r="B293" s="45"/>
      <c r="C293" s="184" t="s">
        <v>950</v>
      </c>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ht="15.75" customHeight="1">
      <c r="A294" s="45"/>
      <c r="B294" s="45"/>
      <c r="C294" s="184"/>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ht="15.75" customHeight="1">
      <c r="A295" s="45" t="s">
        <v>951</v>
      </c>
      <c r="B295" s="45"/>
      <c r="C295" s="184" t="s">
        <v>952</v>
      </c>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ht="15.75" customHeight="1">
      <c r="A296" s="45"/>
      <c r="B296" s="45"/>
      <c r="C296" s="184"/>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ht="15.75" customHeight="1">
      <c r="A297" s="45"/>
      <c r="B297" s="45"/>
      <c r="C297" s="184" t="s">
        <v>953</v>
      </c>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ht="15.75" customHeight="1">
      <c r="A298" s="45" t="s">
        <v>954</v>
      </c>
      <c r="B298" s="45"/>
      <c r="C298" s="184"/>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ht="15.75" customHeight="1">
      <c r="A299" s="45"/>
      <c r="B299" s="45"/>
      <c r="C299" s="184" t="s">
        <v>955</v>
      </c>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ht="15.75" customHeight="1">
      <c r="A300" s="45" t="s">
        <v>956</v>
      </c>
      <c r="B300" s="45"/>
      <c r="C300" s="184"/>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ht="15.75" customHeight="1">
      <c r="A301" s="45"/>
      <c r="B301" s="45"/>
      <c r="C301" s="184" t="s">
        <v>957</v>
      </c>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ht="15.75" customHeight="1">
      <c r="A302" s="45" t="s">
        <v>958</v>
      </c>
      <c r="B302" s="45"/>
      <c r="C302" s="184"/>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ht="15.75" customHeight="1">
      <c r="A303" s="45"/>
      <c r="B303" s="45"/>
      <c r="C303" s="184" t="s">
        <v>959</v>
      </c>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ht="15.75" customHeight="1">
      <c r="A304" s="45"/>
      <c r="B304" s="45"/>
      <c r="C304" s="184"/>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ht="15.75" customHeight="1">
      <c r="A305" s="45" t="s">
        <v>960</v>
      </c>
      <c r="B305" s="45"/>
      <c r="C305" s="184" t="s">
        <v>961</v>
      </c>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ht="15.75" customHeight="1">
      <c r="A306" s="45"/>
      <c r="B306" s="45"/>
      <c r="C306" s="184"/>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ht="15.75" customHeight="1">
      <c r="A307" s="45"/>
      <c r="B307" s="45"/>
      <c r="C307" s="184" t="s">
        <v>962</v>
      </c>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ht="15.75" customHeight="1">
      <c r="A308" s="45" t="s">
        <v>963</v>
      </c>
      <c r="B308" s="45"/>
      <c r="C308" s="184"/>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ht="15.75" customHeight="1">
      <c r="A309" s="45"/>
      <c r="B309" s="45"/>
      <c r="C309" s="184" t="s">
        <v>964</v>
      </c>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ht="15.75" customHeight="1">
      <c r="A310" s="45" t="s">
        <v>965</v>
      </c>
      <c r="C310" s="184"/>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ht="15.75" customHeight="1">
      <c r="A311" s="45"/>
      <c r="B311" s="45"/>
      <c r="C311" s="184" t="s">
        <v>966</v>
      </c>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ht="15.75" customHeight="1">
      <c r="A312" s="45" t="s">
        <v>967</v>
      </c>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ht="15.75" customHeight="1">
      <c r="A313" s="45" t="s">
        <v>968</v>
      </c>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ht="15.75" customHeight="1">
      <c r="A315" s="45" t="s">
        <v>969</v>
      </c>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ht="15.75" customHeight="1">
      <c r="A317" s="45" t="s">
        <v>970</v>
      </c>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ht="15.75" customHeight="1">
      <c r="A320" s="45" t="s">
        <v>971</v>
      </c>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ht="15.75" customHeight="1">
      <c r="A323" s="45" t="s">
        <v>972</v>
      </c>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ht="15.75" customHeight="1">
      <c r="A325" s="45" t="s">
        <v>973</v>
      </c>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ht="15.75" customHeight="1">
      <c r="A327" s="45" t="s">
        <v>974</v>
      </c>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ht="15.75" customHeight="1">
      <c r="A333" s="45" t="s">
        <v>975</v>
      </c>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47"/>
  </hyperlinks>
  <printOptions/>
  <pageMargins bottom="0.0" footer="0.0" header="0.0" left="0.2033045049696657" right="0.0" top="0.25"/>
  <pageSetup fitToHeight="0" paperSize="9" orientation="landscape"/>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4.29"/>
    <col customWidth="1" min="3" max="3" width="31.71"/>
    <col customWidth="1" min="4"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14"/>
    <col customWidth="1" min="2" max="2" width="29.43"/>
    <col customWidth="1" min="3" max="3" width="20.43"/>
    <col customWidth="1" min="4" max="26" width="8.71"/>
  </cols>
  <sheetData>
    <row r="1">
      <c r="A1" s="16" t="s">
        <v>976</v>
      </c>
      <c r="B1" s="96">
        <v>6000.0</v>
      </c>
    </row>
    <row r="2">
      <c r="A2" s="16" t="s">
        <v>977</v>
      </c>
    </row>
    <row r="3">
      <c r="A3" s="16" t="s">
        <v>978</v>
      </c>
    </row>
    <row r="5">
      <c r="A5" s="16" t="s">
        <v>979</v>
      </c>
      <c r="B5" s="96">
        <v>1000.0</v>
      </c>
    </row>
    <row r="6">
      <c r="A6" s="16" t="s">
        <v>980</v>
      </c>
    </row>
    <row r="8">
      <c r="A8" s="16" t="s">
        <v>981</v>
      </c>
      <c r="B8" s="96">
        <v>500.0</v>
      </c>
    </row>
    <row r="10">
      <c r="A10" s="16" t="s">
        <v>982</v>
      </c>
      <c r="B10" s="96">
        <v>1000.0</v>
      </c>
    </row>
    <row r="11">
      <c r="A11" s="16" t="s">
        <v>983</v>
      </c>
    </row>
    <row r="12">
      <c r="A12" s="16" t="s">
        <v>984</v>
      </c>
    </row>
    <row r="13">
      <c r="A13" s="16" t="s">
        <v>985</v>
      </c>
    </row>
    <row r="14">
      <c r="A14" s="16" t="s">
        <v>986</v>
      </c>
    </row>
    <row r="16">
      <c r="A16" s="16" t="s">
        <v>987</v>
      </c>
      <c r="B16" s="96">
        <v>7000.0</v>
      </c>
    </row>
    <row r="17">
      <c r="A17" s="16"/>
    </row>
    <row r="19">
      <c r="A19" s="1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