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32" yWindow="540" windowWidth="22716" windowHeight="10788" activeTab="1"/>
  </bookViews>
  <sheets>
    <sheet name="Fees Details" sheetId="1" r:id="rId1"/>
    <sheet name="Pvt Ltd Company Reg State Wise " sheetId="2" r:id="rId2"/>
    <sheet name="NGO Reg State Wise Fees" sheetId="3" r:id="rId3"/>
    <sheet name="Certifications" sheetId="4" r:id="rId4"/>
    <sheet name="LLP" sheetId="5" r:id="rId5"/>
    <sheet name="Company Services" sheetId="6" r:id="rId6"/>
    <sheet name="Packages" sheetId="7" r:id="rId7"/>
    <sheet name="ISO Rate List" sheetId="8" r:id="rId8"/>
    <sheet name="Updated Docx List" sheetId="9" r:id="rId9"/>
    <sheet name="Extra" sheetId="10" r:id="rId10"/>
    <sheet name="Accounting Rate List" sheetId="11" r:id="rId11"/>
    <sheet name="Document Details" sheetId="12" r:id="rId12"/>
    <sheet name="Penalty " sheetId="13" r:id="rId13"/>
    <sheet name="Website" sheetId="14" r:id="rId14"/>
    <sheet name="Annual Mandatory Filings" sheetId="15" r:id="rId15"/>
  </sheets>
  <definedNames>
    <definedName name="Z_2C5AAE21_AED2_4BA3_9649_30A02D817230_.wvu.FilterData" localSheetId="0" hidden="1">'Fees Details'!$A$1:$H$21</definedName>
  </definedNames>
  <calcPr calcId="144525"/>
  <customWorkbookViews>
    <customWorkbookView name="Filter 1" guid="{2C5AAE21-AED2-4BA3-9649-30A02D817230}" maximized="1" windowWidth="0" windowHeight="0" activeSheetId="0"/>
  </customWorkbookViews>
  <extLst>
    <ext uri="GoogleSheetsCustomDataVersion2">
      <go:sheetsCustomData xmlns:go="http://customooxmlschemas.google.com/" r:id="rId19" roundtripDataChecksum="IPv9EIUKW2cqpDCtFBUOksEYYUTFjaMOn+VkaOCCXfc="/>
    </ext>
  </extLst>
</workbook>
</file>

<file path=xl/calcChain.xml><?xml version="1.0" encoding="utf-8"?>
<calcChain xmlns="http://schemas.openxmlformats.org/spreadsheetml/2006/main">
  <c r="G84" i="8" l="1"/>
  <c r="F84" i="8"/>
  <c r="G83" i="8"/>
  <c r="F83" i="8"/>
  <c r="G82" i="8"/>
  <c r="F82" i="8"/>
  <c r="G81" i="8"/>
  <c r="F81" i="8"/>
  <c r="G80" i="8"/>
  <c r="F80" i="8"/>
  <c r="G79" i="8"/>
  <c r="F79" i="8"/>
  <c r="G75" i="8"/>
  <c r="F75" i="8"/>
  <c r="G74" i="8"/>
  <c r="F74" i="8"/>
  <c r="G73" i="8"/>
  <c r="F73" i="8"/>
  <c r="G72" i="8"/>
  <c r="F72" i="8"/>
  <c r="G71" i="8"/>
  <c r="F71" i="8"/>
  <c r="G70" i="8"/>
  <c r="F70" i="8"/>
  <c r="G65" i="8"/>
  <c r="F65" i="8"/>
  <c r="G64" i="8"/>
  <c r="F64" i="8"/>
  <c r="G63" i="8"/>
  <c r="F63" i="8"/>
  <c r="G62" i="8"/>
  <c r="F62" i="8"/>
  <c r="G61" i="8"/>
  <c r="F61" i="8"/>
  <c r="G60" i="8"/>
  <c r="F60" i="8"/>
  <c r="G59" i="8"/>
  <c r="F59" i="8"/>
  <c r="G58" i="8"/>
  <c r="F58" i="8"/>
  <c r="G57" i="8"/>
  <c r="F57" i="8"/>
  <c r="G56" i="8"/>
  <c r="F56" i="8"/>
  <c r="G55" i="8"/>
  <c r="F55" i="8"/>
  <c r="G54" i="8"/>
  <c r="F54" i="8"/>
  <c r="G53" i="8"/>
  <c r="F53" i="8"/>
  <c r="G52" i="8"/>
  <c r="F52" i="8"/>
  <c r="G51" i="8"/>
  <c r="F51" i="8"/>
  <c r="G50" i="8"/>
  <c r="F50" i="8"/>
  <c r="G49" i="8"/>
  <c r="F49" i="8"/>
  <c r="G48" i="8"/>
  <c r="F48" i="8"/>
  <c r="G47" i="8"/>
  <c r="F47" i="8"/>
  <c r="G46" i="8"/>
  <c r="F46" i="8"/>
  <c r="G45" i="8"/>
  <c r="F45" i="8"/>
  <c r="G44" i="8"/>
  <c r="F44" i="8"/>
  <c r="G43" i="8"/>
  <c r="F43" i="8"/>
  <c r="G42" i="8"/>
  <c r="F42" i="8"/>
  <c r="G41" i="8"/>
  <c r="F41" i="8"/>
  <c r="G40" i="8"/>
  <c r="F40" i="8"/>
  <c r="G39" i="8"/>
  <c r="F39" i="8"/>
  <c r="G38" i="8"/>
  <c r="F38" i="8"/>
  <c r="G37" i="8"/>
  <c r="F37" i="8"/>
  <c r="G36" i="8"/>
  <c r="F36" i="8"/>
  <c r="G35" i="8"/>
  <c r="F35" i="8"/>
  <c r="G34" i="8"/>
  <c r="F34" i="8"/>
  <c r="G33" i="8"/>
  <c r="F33" i="8"/>
  <c r="G32" i="8"/>
  <c r="F32" i="8"/>
  <c r="G31" i="8"/>
  <c r="F31" i="8"/>
  <c r="G30" i="8"/>
  <c r="F30" i="8"/>
  <c r="G29" i="8"/>
  <c r="F29" i="8"/>
  <c r="G28" i="8"/>
  <c r="F28" i="8"/>
  <c r="G27" i="8"/>
  <c r="F27" i="8"/>
  <c r="G26" i="8"/>
  <c r="F26" i="8"/>
  <c r="G25" i="8"/>
  <c r="F25" i="8"/>
  <c r="G24" i="8"/>
  <c r="F24" i="8"/>
  <c r="G23" i="8"/>
  <c r="F23" i="8"/>
  <c r="G22" i="8"/>
  <c r="F22" i="8"/>
  <c r="G21" i="8"/>
  <c r="F21" i="8"/>
  <c r="G20" i="8"/>
  <c r="F20" i="8"/>
  <c r="G19" i="8"/>
  <c r="F19" i="8"/>
  <c r="G18" i="8"/>
  <c r="F18" i="8"/>
  <c r="G17" i="8"/>
  <c r="F17" i="8"/>
  <c r="G16" i="8"/>
  <c r="F16" i="8"/>
  <c r="G15" i="8"/>
  <c r="F15" i="8"/>
  <c r="G14" i="8"/>
  <c r="F14" i="8"/>
  <c r="G13" i="8"/>
  <c r="F13" i="8"/>
  <c r="G12" i="8"/>
  <c r="F12" i="8"/>
  <c r="G11" i="8"/>
  <c r="F11" i="8"/>
  <c r="G10" i="8"/>
  <c r="F10" i="8"/>
  <c r="G9" i="8"/>
  <c r="F9" i="8"/>
  <c r="G8" i="8"/>
  <c r="F8" i="8"/>
  <c r="G7" i="8"/>
  <c r="F7" i="8"/>
  <c r="G6" i="8"/>
  <c r="F6" i="8"/>
  <c r="G5" i="8"/>
  <c r="F5" i="8"/>
  <c r="G4" i="8"/>
  <c r="F4" i="8"/>
  <c r="G3" i="8"/>
  <c r="F3" i="8"/>
  <c r="G2" i="8"/>
  <c r="F2" i="8"/>
  <c r="C14" i="6"/>
  <c r="C13" i="6"/>
  <c r="C12" i="6"/>
  <c r="C11" i="6"/>
  <c r="C10" i="6"/>
  <c r="C9" i="6"/>
  <c r="C7" i="6"/>
  <c r="C6" i="6"/>
  <c r="C4" i="6"/>
  <c r="C3" i="6"/>
  <c r="N37" i="3"/>
  <c r="M37" i="3"/>
  <c r="I37" i="3"/>
  <c r="J37" i="3" s="1"/>
  <c r="N36" i="3"/>
  <c r="M36" i="3"/>
  <c r="I36" i="3"/>
  <c r="J36" i="3" s="1"/>
  <c r="N35" i="3"/>
  <c r="M35" i="3"/>
  <c r="I35" i="3"/>
  <c r="J35" i="3" s="1"/>
  <c r="N34" i="3"/>
  <c r="M34" i="3"/>
  <c r="I34" i="3"/>
  <c r="J34" i="3" s="1"/>
  <c r="N33" i="3"/>
  <c r="M33" i="3"/>
  <c r="I33" i="3"/>
  <c r="J33" i="3" s="1"/>
  <c r="N32" i="3"/>
  <c r="M32" i="3"/>
  <c r="I32" i="3"/>
  <c r="J32" i="3" s="1"/>
  <c r="N31" i="3"/>
  <c r="M31" i="3"/>
  <c r="I31" i="3"/>
  <c r="J31" i="3" s="1"/>
  <c r="N30" i="3"/>
  <c r="M30" i="3"/>
  <c r="I30" i="3"/>
  <c r="J30" i="3" s="1"/>
  <c r="N29" i="3"/>
  <c r="M29" i="3"/>
  <c r="I29" i="3"/>
  <c r="J29" i="3" s="1"/>
  <c r="N28" i="3"/>
  <c r="M28" i="3"/>
  <c r="I28" i="3"/>
  <c r="J28" i="3" s="1"/>
  <c r="N27" i="3"/>
  <c r="M27" i="3"/>
  <c r="I27" i="3"/>
  <c r="J27" i="3" s="1"/>
  <c r="N26" i="3"/>
  <c r="M26" i="3"/>
  <c r="I26" i="3"/>
  <c r="J26" i="3" s="1"/>
  <c r="N25" i="3"/>
  <c r="M25" i="3"/>
  <c r="I25" i="3"/>
  <c r="J25" i="3" s="1"/>
  <c r="N24" i="3"/>
  <c r="M24" i="3"/>
  <c r="I24" i="3"/>
  <c r="J24" i="3" s="1"/>
  <c r="N23" i="3"/>
  <c r="M23" i="3"/>
  <c r="I23" i="3"/>
  <c r="J23" i="3" s="1"/>
  <c r="N22" i="3"/>
  <c r="M22" i="3"/>
  <c r="I22" i="3"/>
  <c r="J22" i="3" s="1"/>
  <c r="N21" i="3"/>
  <c r="M21" i="3"/>
  <c r="I21" i="3"/>
  <c r="J21" i="3" s="1"/>
  <c r="N20" i="3"/>
  <c r="M20" i="3"/>
  <c r="I20" i="3"/>
  <c r="J20" i="3" s="1"/>
  <c r="N19" i="3"/>
  <c r="M19" i="3"/>
  <c r="I19" i="3"/>
  <c r="J19" i="3" s="1"/>
  <c r="N18" i="3"/>
  <c r="M18" i="3"/>
  <c r="I18" i="3"/>
  <c r="J18" i="3" s="1"/>
  <c r="N17" i="3"/>
  <c r="M17" i="3"/>
  <c r="I17" i="3"/>
  <c r="J17" i="3" s="1"/>
  <c r="N16" i="3"/>
  <c r="M16" i="3"/>
  <c r="I16" i="3"/>
  <c r="J16" i="3" s="1"/>
  <c r="N15" i="3"/>
  <c r="M15" i="3"/>
  <c r="I15" i="3"/>
  <c r="J15" i="3" s="1"/>
  <c r="N14" i="3"/>
  <c r="M14" i="3"/>
  <c r="I14" i="3"/>
  <c r="J14" i="3" s="1"/>
  <c r="N13" i="3"/>
  <c r="M13" i="3"/>
  <c r="I13" i="3"/>
  <c r="J13" i="3" s="1"/>
  <c r="N12" i="3"/>
  <c r="M12" i="3"/>
  <c r="I12" i="3"/>
  <c r="J12" i="3" s="1"/>
  <c r="N11" i="3"/>
  <c r="M11" i="3"/>
  <c r="I11" i="3"/>
  <c r="J11" i="3" s="1"/>
  <c r="N10" i="3"/>
  <c r="M10" i="3"/>
  <c r="I10" i="3"/>
  <c r="J10" i="3" s="1"/>
  <c r="N9" i="3"/>
  <c r="M9" i="3"/>
  <c r="I9" i="3"/>
  <c r="J9" i="3" s="1"/>
  <c r="N8" i="3"/>
  <c r="M8" i="3"/>
  <c r="I8" i="3"/>
  <c r="J8" i="3" s="1"/>
  <c r="N7" i="3"/>
  <c r="M7" i="3"/>
  <c r="I7" i="3"/>
  <c r="J7" i="3" s="1"/>
  <c r="N6" i="3"/>
  <c r="M6" i="3"/>
  <c r="I6" i="3"/>
  <c r="J6" i="3" s="1"/>
  <c r="N5" i="3"/>
  <c r="M5" i="3"/>
  <c r="I5" i="3"/>
  <c r="J5" i="3" s="1"/>
  <c r="N4" i="3"/>
  <c r="M4" i="3"/>
  <c r="I4" i="3"/>
  <c r="J4" i="3" s="1"/>
  <c r="N3" i="3"/>
  <c r="M3" i="3"/>
  <c r="I3" i="3"/>
  <c r="J3" i="3" s="1"/>
  <c r="N2" i="3"/>
  <c r="M2" i="3"/>
  <c r="I2" i="3"/>
  <c r="J2" i="3" s="1"/>
  <c r="K37" i="2"/>
  <c r="L37" i="2" s="1"/>
  <c r="G37" i="2"/>
  <c r="H37" i="2" s="1"/>
  <c r="K36" i="2"/>
  <c r="L36" i="2" s="1"/>
  <c r="G36" i="2"/>
  <c r="H36" i="2" s="1"/>
  <c r="K35" i="2"/>
  <c r="L35" i="2" s="1"/>
  <c r="G35" i="2"/>
  <c r="H35" i="2" s="1"/>
  <c r="K34" i="2"/>
  <c r="L34" i="2" s="1"/>
  <c r="G34" i="2"/>
  <c r="H34" i="2" s="1"/>
  <c r="K33" i="2"/>
  <c r="L33" i="2" s="1"/>
  <c r="G33" i="2"/>
  <c r="H33" i="2" s="1"/>
  <c r="K32" i="2"/>
  <c r="L32" i="2" s="1"/>
  <c r="G32" i="2"/>
  <c r="H32" i="2" s="1"/>
  <c r="K31" i="2"/>
  <c r="L31" i="2" s="1"/>
  <c r="G31" i="2"/>
  <c r="H31" i="2" s="1"/>
  <c r="L30" i="2"/>
  <c r="K30" i="2"/>
  <c r="G30" i="2"/>
  <c r="H30" i="2" s="1"/>
  <c r="K29" i="2"/>
  <c r="L29" i="2" s="1"/>
  <c r="G29" i="2"/>
  <c r="H29" i="2" s="1"/>
  <c r="K28" i="2"/>
  <c r="L28" i="2" s="1"/>
  <c r="G28" i="2"/>
  <c r="H28" i="2" s="1"/>
  <c r="K27" i="2"/>
  <c r="L27" i="2" s="1"/>
  <c r="G27" i="2"/>
  <c r="H27" i="2" s="1"/>
  <c r="K26" i="2"/>
  <c r="L26" i="2" s="1"/>
  <c r="G26" i="2"/>
  <c r="H26" i="2" s="1"/>
  <c r="K25" i="2"/>
  <c r="L25" i="2" s="1"/>
  <c r="G25" i="2"/>
  <c r="H25" i="2" s="1"/>
  <c r="K24" i="2"/>
  <c r="L24" i="2" s="1"/>
  <c r="G24" i="2"/>
  <c r="H24" i="2" s="1"/>
  <c r="K23" i="2"/>
  <c r="L23" i="2" s="1"/>
  <c r="G23" i="2"/>
  <c r="H23" i="2" s="1"/>
  <c r="K22" i="2"/>
  <c r="L22" i="2" s="1"/>
  <c r="G22" i="2"/>
  <c r="H22" i="2" s="1"/>
  <c r="K21" i="2"/>
  <c r="L21" i="2" s="1"/>
  <c r="G21" i="2"/>
  <c r="H21" i="2" s="1"/>
  <c r="K20" i="2"/>
  <c r="L20" i="2" s="1"/>
  <c r="G20" i="2"/>
  <c r="H20" i="2" s="1"/>
  <c r="K19" i="2"/>
  <c r="L19" i="2" s="1"/>
  <c r="G19" i="2"/>
  <c r="H19" i="2" s="1"/>
  <c r="K18" i="2"/>
  <c r="L18" i="2" s="1"/>
  <c r="G18" i="2"/>
  <c r="H18" i="2" s="1"/>
  <c r="K17" i="2"/>
  <c r="L17" i="2" s="1"/>
  <c r="G17" i="2"/>
  <c r="H17" i="2" s="1"/>
  <c r="K16" i="2"/>
  <c r="L16" i="2" s="1"/>
  <c r="G16" i="2"/>
  <c r="H16" i="2" s="1"/>
  <c r="K15" i="2"/>
  <c r="L15" i="2" s="1"/>
  <c r="G15" i="2"/>
  <c r="H15" i="2" s="1"/>
  <c r="K14" i="2"/>
  <c r="L14" i="2" s="1"/>
  <c r="G14" i="2"/>
  <c r="H14" i="2" s="1"/>
  <c r="K13" i="2"/>
  <c r="L13" i="2" s="1"/>
  <c r="G13" i="2"/>
  <c r="H13" i="2" s="1"/>
  <c r="K12" i="2"/>
  <c r="L12" i="2" s="1"/>
  <c r="G12" i="2"/>
  <c r="H12" i="2" s="1"/>
  <c r="K11" i="2"/>
  <c r="L11" i="2" s="1"/>
  <c r="G11" i="2"/>
  <c r="H11" i="2" s="1"/>
  <c r="K10" i="2"/>
  <c r="L10" i="2" s="1"/>
  <c r="G10" i="2"/>
  <c r="H10" i="2" s="1"/>
  <c r="K9" i="2"/>
  <c r="L9" i="2" s="1"/>
  <c r="G9" i="2"/>
  <c r="H9" i="2" s="1"/>
  <c r="K8" i="2"/>
  <c r="L8" i="2" s="1"/>
  <c r="G8" i="2"/>
  <c r="H8" i="2" s="1"/>
  <c r="K7" i="2"/>
  <c r="L7" i="2" s="1"/>
  <c r="G7" i="2"/>
  <c r="H7" i="2" s="1"/>
  <c r="K6" i="2"/>
  <c r="L6" i="2" s="1"/>
  <c r="G6" i="2"/>
  <c r="H6" i="2" s="1"/>
  <c r="K5" i="2"/>
  <c r="L5" i="2" s="1"/>
  <c r="G5" i="2"/>
  <c r="H5" i="2" s="1"/>
  <c r="K4" i="2"/>
  <c r="L4" i="2" s="1"/>
  <c r="G4" i="2"/>
  <c r="H4" i="2" s="1"/>
  <c r="K3" i="2"/>
  <c r="L3" i="2" s="1"/>
  <c r="G3" i="2"/>
  <c r="H3" i="2" s="1"/>
  <c r="K2" i="2"/>
  <c r="L2" i="2" s="1"/>
  <c r="G2" i="2"/>
  <c r="H2" i="2" s="1"/>
</calcChain>
</file>

<file path=xl/sharedStrings.xml><?xml version="1.0" encoding="utf-8"?>
<sst xmlns="http://schemas.openxmlformats.org/spreadsheetml/2006/main" count="1812" uniqueCount="1020">
  <si>
    <t xml:space="preserve">  </t>
  </si>
  <si>
    <t>Service Name</t>
  </si>
  <si>
    <t>Total Fee</t>
  </si>
  <si>
    <t>Validity</t>
  </si>
  <si>
    <t>Gov. Fees</t>
  </si>
  <si>
    <t>Process Time</t>
  </si>
  <si>
    <t>Annual Package</t>
  </si>
  <si>
    <t>Last Filing Date</t>
  </si>
  <si>
    <t>Penalty</t>
  </si>
  <si>
    <t>Documents We Provide</t>
  </si>
  <si>
    <t>Documents Needed</t>
  </si>
  <si>
    <t>Payment Method</t>
  </si>
  <si>
    <t>Benefits</t>
  </si>
  <si>
    <t>GST Services</t>
  </si>
  <si>
    <t>GST Registration</t>
  </si>
  <si>
    <t>https://wa.me/p/8051845834863146/918467054360</t>
  </si>
  <si>
    <t>One Time</t>
  </si>
  <si>
    <t>Nil</t>
  </si>
  <si>
    <t>15-20 Days</t>
  </si>
  <si>
    <t xml:space="preserve">GST Return Filing </t>
  </si>
  <si>
    <t>https://wa.me/p/26254468517531513/918467054360</t>
  </si>
  <si>
    <t>Monthly</t>
  </si>
  <si>
    <t>1 Day</t>
  </si>
  <si>
    <t>20 every month</t>
  </si>
  <si>
    <t>20 Rs/Day for Nil, 50Rs/Day  Normal</t>
  </si>
  <si>
    <t>NA</t>
  </si>
  <si>
    <t>Bills in pdf or excel</t>
  </si>
  <si>
    <t>GST Return Filing( 1-15 Bills)</t>
  </si>
  <si>
    <t>2 Day</t>
  </si>
  <si>
    <t>GST Return Filing(up to 50 Invoice)</t>
  </si>
  <si>
    <t xml:space="preserve">3 Day </t>
  </si>
  <si>
    <t>GST Return Filing(up to 100 Invoice)</t>
  </si>
  <si>
    <t>GST Return Filing(up to 150 Invoice)</t>
  </si>
  <si>
    <t>GST Audit(Annual Return/9C)</t>
  </si>
  <si>
    <t>Annualy</t>
  </si>
  <si>
    <t>15 Day</t>
  </si>
  <si>
    <t>GST Refund(Turnover Up to 5 CR)</t>
  </si>
  <si>
    <t>GST Refund(TurnoverMore than 5 CR)</t>
  </si>
  <si>
    <t>Amendendt of GST Registration(Change in Non-Core Field)</t>
  </si>
  <si>
    <t>Amendendt of GST Registration(Change in Core Field)</t>
  </si>
  <si>
    <t>Amendendt of GST Registration(Change From Composite to Regular Scheme)</t>
  </si>
  <si>
    <t>GST Surrender or Cancellation(Applicable for Entities With No Activities)</t>
  </si>
  <si>
    <t>GST Surrender or Cancellation(Complete Managed Cancellation Services)</t>
  </si>
  <si>
    <t>GST Surrender or Cancellation(Complete Managed Cancellation Services With Notice)</t>
  </si>
  <si>
    <t>GST Revocation of Cancellation Registration</t>
  </si>
  <si>
    <t>EPFO Return Filing(0 Employees)</t>
  </si>
  <si>
    <t>https://wa.me/p/8405874116098188/918467054360</t>
  </si>
  <si>
    <t>15 every month</t>
  </si>
  <si>
    <t>EPFO Return Filing(Upto 20 Employees)</t>
  </si>
  <si>
    <t>EPFO Return Filing(Above 20 Employees)</t>
  </si>
  <si>
    <t>Income Tax Services</t>
  </si>
  <si>
    <t>ITR For Individual/ Salaried Person(ITR-1) (Upto 10 lakh Salary)</t>
  </si>
  <si>
    <t>https://wa.me/p/7894943910631713/918467054360</t>
  </si>
  <si>
    <t>July 31 Every Year</t>
  </si>
  <si>
    <t>1000/year</t>
  </si>
  <si>
    <t>ITR For Individual/ Salaried Person(ITR-1)(10-50 lakh Salary)</t>
  </si>
  <si>
    <t>ITR For Individual/ Salaried Person(ITR-1)(50 lakh -1 crore Salary)</t>
  </si>
  <si>
    <t>Income Tax Audit &amp; Return For Business(T.&amp;C.)(Upto 10 lakh)</t>
  </si>
  <si>
    <t>10 Day</t>
  </si>
  <si>
    <t>Income Tax Audit &amp; Return For Business(T.&amp;C.)(10-50 lakh )</t>
  </si>
  <si>
    <t>Income Tax Audit &amp; Return For Business(T.&amp;C.)(50 lakh - 1Cr)</t>
  </si>
  <si>
    <t>TDS Return Filling(Minimum 2000 or 10% of Refund, which is higer in both.)</t>
  </si>
  <si>
    <t>Every Time</t>
  </si>
  <si>
    <t>PAN Registration</t>
  </si>
  <si>
    <t>TAN Registration</t>
  </si>
  <si>
    <t>Company Registration</t>
  </si>
  <si>
    <t>Shop Act Registartion (Government Fees Excluded)</t>
  </si>
  <si>
    <t>https://wa.me/p/7477930845666823/918467054360</t>
  </si>
  <si>
    <t>State Wise</t>
  </si>
  <si>
    <t>7-8 Days</t>
  </si>
  <si>
    <t>Properitorship Registartion(GST+MSME)</t>
  </si>
  <si>
    <t>4-5 Day</t>
  </si>
  <si>
    <t>Partnership Registartion (Only Soft Copy Deed and Pan Card) GST(Optional)</t>
  </si>
  <si>
    <t>Private Limited Company Registartion(FOR OPC) For 1 Director</t>
  </si>
  <si>
    <t>https://wa.me/p/7823185657720021/918467054360</t>
  </si>
  <si>
    <t>10-15 Day</t>
  </si>
  <si>
    <t>Private Limited Company Registartion(Up to 3 Director)</t>
  </si>
  <si>
    <t>Public Limited Company Registartion(FOR 7 Director)</t>
  </si>
  <si>
    <t>https://wa.me/p/8184371281575162/918467054360</t>
  </si>
  <si>
    <t>Limited Libalitiy Partnership (LLP) Registration(Upto 3 Partner)</t>
  </si>
  <si>
    <t>https://wa.me/p/7787655661299276/918467054360</t>
  </si>
  <si>
    <t>Udyog Aadhar (MSME) Registration</t>
  </si>
  <si>
    <t>https://wa.me/p/8221390674537534/918467054360</t>
  </si>
  <si>
    <t>Nidhi Company Registration(FOR 3 Director &amp; 4 Members)</t>
  </si>
  <si>
    <t>https://wa.me/p/7347163215385888/918467054360</t>
  </si>
  <si>
    <t>15-20 Day</t>
  </si>
  <si>
    <t>Micro Finance</t>
  </si>
  <si>
    <t>farma producer company</t>
  </si>
  <si>
    <t>https://wa.me/p/7960593743961316/918467054360</t>
  </si>
  <si>
    <t>Non Banking finance Company(NBFC)</t>
  </si>
  <si>
    <t>https://wa.me/p/8551078018270024/918467054360</t>
  </si>
  <si>
    <t>NGO Registration(Section 8 Act)</t>
  </si>
  <si>
    <t>https://wa.me/p/7769406796449057/918467054360</t>
  </si>
  <si>
    <t>Trust Registration Only Soft Copy Deed and Pan Card</t>
  </si>
  <si>
    <t>2-3 Day</t>
  </si>
  <si>
    <t>Society Registration Only Soft Copy Deed and Pan Card</t>
  </si>
  <si>
    <t>GEM Registration</t>
  </si>
  <si>
    <t>CPPP</t>
  </si>
  <si>
    <t>License &amp; Certifications</t>
  </si>
  <si>
    <t>Digital Signature(DSC) Normal(Class 3, Signing Only) With token</t>
  </si>
  <si>
    <t>1400+ Delivery Fee</t>
  </si>
  <si>
    <t>https://wa.me/p/7788871807889505/918467054360</t>
  </si>
  <si>
    <t>2 years</t>
  </si>
  <si>
    <t>Digital Signature(DSC) Combo(Class 3 , Signing + Encryption) (DGFT) With token</t>
  </si>
  <si>
    <t>2400+ Delivery Fee</t>
  </si>
  <si>
    <t>https://wa.me/p/8926414734054576/918467054360</t>
  </si>
  <si>
    <t>Organization Digital Signature(DSC) Combo (Class 3 , Signing + Encryption) (For Government Tender Use) With token</t>
  </si>
  <si>
    <t>2000+ Delivery Fee</t>
  </si>
  <si>
    <t>https://wa.me/p/7997229773647944/918467054360</t>
  </si>
  <si>
    <t>Trademark Registartion (Filing + Objection Handling, Opposition handling not included)</t>
  </si>
  <si>
    <t>https://wa.me/p/7807867312662955/918467054360</t>
  </si>
  <si>
    <t>10 Years</t>
  </si>
  <si>
    <t>12-18 Months</t>
  </si>
  <si>
    <t>Fssai Basic Registration(Under 12 lac turnover)</t>
  </si>
  <si>
    <t>https://wa.me/p/8111330705602524/918467054360</t>
  </si>
  <si>
    <t>1 Year</t>
  </si>
  <si>
    <t>7-8 Day</t>
  </si>
  <si>
    <t>FSSAI Registration(State)(Depend on Business and Their Production Capacity)(Above 12 lac turnover)</t>
  </si>
  <si>
    <t>1000 + govt fee</t>
  </si>
  <si>
    <t>Business Wise</t>
  </si>
  <si>
    <t>FSSAI Registration(Central)(Above 12 lac turnover)</t>
  </si>
  <si>
    <t>20-25 Day</t>
  </si>
  <si>
    <t>FSSAI Renewal Registration</t>
  </si>
  <si>
    <t>Same</t>
  </si>
  <si>
    <t>5-7 Day</t>
  </si>
  <si>
    <t>Import Export Code Registration</t>
  </si>
  <si>
    <t>1-2 Day</t>
  </si>
  <si>
    <t>PF/ESIC Registration</t>
  </si>
  <si>
    <t>https://wa.me/p/8019546994799588/918467054360</t>
  </si>
  <si>
    <t>PF/ESIC Return Filling (0 Employee)</t>
  </si>
  <si>
    <t>PF/ESIC Return Filling (more than 20 Employee)</t>
  </si>
  <si>
    <t>Cental Excise (PAN Masala etc.) Registration</t>
  </si>
  <si>
    <t>E-Way Bill Registration</t>
  </si>
  <si>
    <t>https://wa.me/p/8188391017887463/918467054360</t>
  </si>
  <si>
    <t>DIN Registration</t>
  </si>
  <si>
    <t>https://wa.me/p/26395830586730248/918467054360</t>
  </si>
  <si>
    <t>Project Financing &amp; Loan Guidence</t>
  </si>
  <si>
    <t>Project Report For Individual</t>
  </si>
  <si>
    <t>Project Report For Business(Depend on Loan Amount)</t>
  </si>
  <si>
    <t>Monthly Accounting (Strating Fees and Depend on the Turnover)</t>
  </si>
  <si>
    <t>3-4 Day</t>
  </si>
  <si>
    <t xml:space="preserve">APEDA Registration </t>
  </si>
  <si>
    <t>Trade License</t>
  </si>
  <si>
    <t>Documents</t>
  </si>
  <si>
    <t xml:space="preserve">Removal direcotr </t>
  </si>
  <si>
    <t>S.No.</t>
  </si>
  <si>
    <t>State Name</t>
  </si>
  <si>
    <t>Fees Up to 2 Director</t>
  </si>
  <si>
    <t>CA Supervision</t>
  </si>
  <si>
    <t>Advocate</t>
  </si>
  <si>
    <t>Stamp Duty</t>
  </si>
  <si>
    <t>DSC</t>
  </si>
  <si>
    <t>Total Cost</t>
  </si>
  <si>
    <t>Our fee</t>
  </si>
  <si>
    <t>Total Fees</t>
  </si>
  <si>
    <t>Capital</t>
  </si>
  <si>
    <t>Advance Payment 75%</t>
  </si>
  <si>
    <t>Rest Due 25% Payment After Completed</t>
  </si>
  <si>
    <t>Andaman and Nicobar Islands</t>
  </si>
  <si>
    <t>1 Lakh</t>
  </si>
  <si>
    <t>Andhra Pradesh</t>
  </si>
  <si>
    <t>Arunachal Pradesh</t>
  </si>
  <si>
    <t>Assam</t>
  </si>
  <si>
    <t>Bihar</t>
  </si>
  <si>
    <t>Chandigarh</t>
  </si>
  <si>
    <t>Chhattisgarh</t>
  </si>
  <si>
    <t>Dadra &amp; Nagar Haveli</t>
  </si>
  <si>
    <t>Daman &amp; Diu</t>
  </si>
  <si>
    <t>Delhi</t>
  </si>
  <si>
    <t>Goa</t>
  </si>
  <si>
    <t>Gujarat</t>
  </si>
  <si>
    <t>Haryana</t>
  </si>
  <si>
    <t>Himachal Pradesh</t>
  </si>
  <si>
    <t>Jammu and Kashmir</t>
  </si>
  <si>
    <t>Jharkhand</t>
  </si>
  <si>
    <t>Karnataka</t>
  </si>
  <si>
    <t>Kerala</t>
  </si>
  <si>
    <t>Lakshadweep</t>
  </si>
  <si>
    <t>Madhya Pradesh</t>
  </si>
  <si>
    <t>Maharashtra</t>
  </si>
  <si>
    <t>Manipur</t>
  </si>
  <si>
    <t>Meghalaya</t>
  </si>
  <si>
    <t>Mizoram</t>
  </si>
  <si>
    <t>Nagaland</t>
  </si>
  <si>
    <t>Odisha</t>
  </si>
  <si>
    <t>Puducherry</t>
  </si>
  <si>
    <t>Punjab</t>
  </si>
  <si>
    <t>Rajasthan</t>
  </si>
  <si>
    <t>Sikkim</t>
  </si>
  <si>
    <t>Tamil Nadu</t>
  </si>
  <si>
    <t>Telangana</t>
  </si>
  <si>
    <t>Tripura</t>
  </si>
  <si>
    <t>Uttar Pradesh</t>
  </si>
  <si>
    <t>Uttarakhand</t>
  </si>
  <si>
    <t>West Bengal</t>
  </si>
  <si>
    <t>Note: More than 2 Director Fees: 2500/- per director Extra</t>
  </si>
  <si>
    <t>Employee</t>
  </si>
  <si>
    <t>Sal</t>
  </si>
  <si>
    <t>CA</t>
  </si>
  <si>
    <t>Sales</t>
  </si>
  <si>
    <t xml:space="preserve">Loss </t>
  </si>
  <si>
    <r>
      <rPr>
        <b/>
        <sz val="11"/>
        <color rgb="FF000000"/>
        <rFont val="Calibri"/>
      </rPr>
      <t>S.No</t>
    </r>
    <r>
      <rPr>
        <b/>
        <sz val="11"/>
        <color theme="1"/>
        <rFont val="Calibri"/>
      </rPr>
      <t>.</t>
    </r>
  </si>
  <si>
    <t>Name Approval</t>
  </si>
  <si>
    <t>DSC+ Cert.</t>
  </si>
  <si>
    <t>Total</t>
  </si>
  <si>
    <t>Our Fees</t>
  </si>
  <si>
    <t>Note: More than 2 Director Fees: 1770/- per director Extra</t>
  </si>
  <si>
    <t>End of the NGO name Menadtory word</t>
  </si>
  <si>
    <t>Association, Society, Council, Club, Forum, Chambers, Confederation, Electoral Trust, Charities, Foundation, Academy, Institute, Organization, and Federation</t>
  </si>
  <si>
    <t>For Proprietorships</t>
  </si>
  <si>
    <t>Our Charges</t>
  </si>
  <si>
    <t>Without GST</t>
  </si>
  <si>
    <t>Total Fees with GST</t>
  </si>
  <si>
    <t>Fssai Basic Registration</t>
  </si>
  <si>
    <t>FSSAI Registration(State)(Depend on Business and Their Production Capacity)</t>
  </si>
  <si>
    <t>FSSAI Registration(Central)</t>
  </si>
  <si>
    <t>PF+ESIC Registration</t>
  </si>
  <si>
    <t>PF/ESIC Return Filling</t>
  </si>
  <si>
    <t>Business Certifications</t>
  </si>
  <si>
    <t>For Companies</t>
  </si>
  <si>
    <t>Startup India</t>
  </si>
  <si>
    <t>NIL</t>
  </si>
  <si>
    <t>DPIIT Tax Exemption</t>
  </si>
  <si>
    <t>80IAC - Startup Tax Exemption</t>
  </si>
  <si>
    <t>DPIIT - Seed Fund Application</t>
  </si>
  <si>
    <t>For NGO</t>
  </si>
  <si>
    <t>12A 80G(Provisinal Certificate)</t>
  </si>
  <si>
    <t>https://wa.me/p/8838413852853768/918467054360</t>
  </si>
  <si>
    <t>5 years</t>
  </si>
  <si>
    <t>12A 80G(Permanent Certificate)</t>
  </si>
  <si>
    <t>Niti Ayog/NGO Darpan</t>
  </si>
  <si>
    <t>https://wa.me/p/7363376297096190/918467054360</t>
  </si>
  <si>
    <t>Lifetime</t>
  </si>
  <si>
    <t>E Anudaan</t>
  </si>
  <si>
    <t>CSR1 ( INC-20A is mandatory)</t>
  </si>
  <si>
    <t>CSR wih dsc ( INC-20A)</t>
  </si>
  <si>
    <t>after 3 years</t>
  </si>
  <si>
    <t xml:space="preserve">CSR without dsc </t>
  </si>
  <si>
    <t>FCRA(Registration</t>
  </si>
  <si>
    <t>FCRA(Renewal)</t>
  </si>
  <si>
    <t>CSR 1 not included</t>
  </si>
  <si>
    <t>Name of States</t>
  </si>
  <si>
    <t>Total(Including Stamp Duty Upto 1 lac capital)</t>
  </si>
  <si>
    <t>Up to ₹ 1,00,000</t>
  </si>
  <si>
    <t>₹1,00,000 - ₹5,00,000</t>
  </si>
  <si>
    <t>₹5,00,000 - ₹ 10,00,000</t>
  </si>
  <si>
    <t>₹ 10,00,000 and more</t>
  </si>
  <si>
    <t>AP (Andhra Pradesh)</t>
  </si>
  <si>
    <t>₹ 500/-</t>
  </si>
  <si>
    <t>₹ 100/-</t>
  </si>
  <si>
    <t>₹ 2,500/-</t>
  </si>
  <si>
    <t>₹ 5,000/-</t>
  </si>
  <si>
    <t>₹ 2,000/-</t>
  </si>
  <si>
    <t>₹ 2,000- ₹ 5,000/-</t>
  </si>
  <si>
    <t>1% Capital</t>
  </si>
  <si>
    <t>(Max: ₹ 5,000/-)</t>
  </si>
  <si>
    <t>(Max: ₹ 5,000/-)</t>
  </si>
  <si>
    <t>₹ 150/-</t>
  </si>
  <si>
    <t>₹ 1,000/-</t>
  </si>
  <si>
    <t>₹ 2,000-₹ 5,000/-</t>
  </si>
  <si>
    <t>₹ 6,000-₹ 10,000/-</t>
  </si>
  <si>
    <t>₹ 10,000/-</t>
  </si>
  <si>
    <t>Himachal Pradesh (H.P)</t>
  </si>
  <si>
    <t>Jammu and Kashmir (J &amp; K)</t>
  </si>
  <si>
    <t>₹ 1,000/- + (₹ 500/- For Every 5 Lacs Increase)</t>
  </si>
  <si>
    <t>Madhya Pradesh (M.P)</t>
  </si>
  <si>
    <t>₹ 5000/-</t>
  </si>
  <si>
    <t>(Minimum of ₹ 500/-)</t>
  </si>
  <si>
    <t>(₹ 15,000/- Max)</t>
  </si>
  <si>
    <t>Orissa</t>
  </si>
  <si>
    <t>₹ 200/-</t>
  </si>
  <si>
    <t>8500  or 6500</t>
  </si>
  <si>
    <t xml:space="preserve">₹ 4,000/- (₹ 50,000/- or below: ₹ 2,000/-) </t>
  </si>
  <si>
    <t>₹ 4,000- ₹ 10,000/- (₹ 2,000/- on multiple of ₹50,000/-)</t>
  </si>
  <si>
    <t>Tamil Nadu (T.N)</t>
  </si>
  <si>
    <t>₹ 300/-</t>
  </si>
  <si>
    <t>Rs 50/- Upto Rs 50,000</t>
  </si>
  <si>
    <t>Rs 100 ( Rs 50,000 - Rs 2,00,000</t>
  </si>
  <si>
    <t>Rs 200(Above Rs 2,00,000)</t>
  </si>
  <si>
    <t>UP (Uttar Pradesh)</t>
  </si>
  <si>
    <t>₹ 750/-</t>
  </si>
  <si>
    <t>WB (West Bengal)</t>
  </si>
  <si>
    <t>Service</t>
  </si>
  <si>
    <t>Last Day</t>
  </si>
  <si>
    <t>Outsource Fees</t>
  </si>
  <si>
    <t>Gov fees</t>
  </si>
  <si>
    <t>We provide</t>
  </si>
  <si>
    <t>Dcuments required</t>
  </si>
  <si>
    <t>Annual ROC Compliance &amp; Audit</t>
  </si>
  <si>
    <t>Annual</t>
  </si>
  <si>
    <t>100/day</t>
  </si>
  <si>
    <t>Registerd office Change within city</t>
  </si>
  <si>
    <t>Voluntarily</t>
  </si>
  <si>
    <t>electric rent greemtn</t>
  </si>
  <si>
    <t>Registerd office Change outside city</t>
  </si>
  <si>
    <t>1 month</t>
  </si>
  <si>
    <t>Increase in Authrised &amp; paidup capital</t>
  </si>
  <si>
    <t>Stamp Duty(State Wise)</t>
  </si>
  <si>
    <t>6 month</t>
  </si>
  <si>
    <t>stamp duty + 2000 professinal fee</t>
  </si>
  <si>
    <t>Winding of Company/LLP</t>
  </si>
  <si>
    <t>10000+5000</t>
  </si>
  <si>
    <t>Share Transfer</t>
  </si>
  <si>
    <t>As per capital</t>
  </si>
  <si>
    <t xml:space="preserve">as per capital </t>
  </si>
  <si>
    <t>Addition  Directors</t>
  </si>
  <si>
    <t>DIN nahi hai to DSC 2000</t>
  </si>
  <si>
    <t>400 govt fee</t>
  </si>
  <si>
    <t xml:space="preserve">Removal DSC </t>
  </si>
  <si>
    <t>Removal of Director</t>
  </si>
  <si>
    <t>Director KYC</t>
  </si>
  <si>
    <t>Company Name Change</t>
  </si>
  <si>
    <t>1000 INC 22+ MGT 14 + DSC + PAN + TAN change</t>
  </si>
  <si>
    <t>Alteration in AOA</t>
  </si>
  <si>
    <t>1000 +1000</t>
  </si>
  <si>
    <t>Alteration in MOA</t>
  </si>
  <si>
    <t>Filing of Business Commincement form INC-20A</t>
  </si>
  <si>
    <t xml:space="preserve">DIN Activation </t>
  </si>
  <si>
    <t>EPFO Filing</t>
  </si>
  <si>
    <t>15 of every month</t>
  </si>
  <si>
    <t>Share Certificate</t>
  </si>
  <si>
    <t>Compliance &amp; Audit</t>
  </si>
  <si>
    <t>We Provide*</t>
  </si>
  <si>
    <t>🔷1. Company Audit</t>
  </si>
  <si>
    <t>🔷2. Balance Sheet</t>
  </si>
  <si>
    <t>🔷3. Profit &amp; Loss Sheet</t>
  </si>
  <si>
    <t>🔷4. Income Expenditure Sheet</t>
  </si>
  <si>
    <t>🔷5. Company ITR</t>
  </si>
  <si>
    <t>🔷8. ADT-1 Forum File</t>
  </si>
  <si>
    <t>🔷9. AOC-4 Forum File (After End Financial Year)</t>
  </si>
  <si>
    <t>🔷10. MGT-7 Forum File (After End Financial Year)</t>
  </si>
  <si>
    <t>🔷11. All Director DIR-3 KYC (Same )</t>
  </si>
  <si>
    <t>All Work With CA Seal &amp; Sign</t>
  </si>
  <si>
    <t>Charges:  Including govt fee, Excluding Govt Penalty</t>
  </si>
  <si>
    <t>Note:-IF Not Filed These Compliances on Time then Penalty Will be Increase On every Forum Applicable.</t>
  </si>
  <si>
    <t>Annual Packages</t>
  </si>
  <si>
    <t>GST Annual Package</t>
  </si>
  <si>
    <t>EPFO Return Filing</t>
  </si>
  <si>
    <t>Combo packaes</t>
  </si>
  <si>
    <t>Combo Packages</t>
  </si>
  <si>
    <t xml:space="preserve">ISO Non IAF Certificate Service </t>
  </si>
  <si>
    <t>ISO 9001:2015 (Quality Managment Systems)</t>
  </si>
  <si>
    <t>3 Years</t>
  </si>
  <si>
    <t>2 Days</t>
  </si>
  <si>
    <t>Non-IAF</t>
  </si>
  <si>
    <t>ISO 14001:2015 (Environmental Managment Systems)</t>
  </si>
  <si>
    <t>No Survillance Charges</t>
  </si>
  <si>
    <t>ISO 45001:2018 (Occupational Health &amp; Safety Managment System)</t>
  </si>
  <si>
    <t>ISO 22000:2018 (Food Safety Managment Systems)</t>
  </si>
  <si>
    <t>Non-IAF ISO Company</t>
  </si>
  <si>
    <t>ISO 27001:2013 (Information Security Managment Systems)</t>
  </si>
  <si>
    <t xml:space="preserve">1. Star Uk </t>
  </si>
  <si>
    <r>
      <rPr>
        <sz val="12"/>
        <rFont val="Arial"/>
      </rPr>
      <t xml:space="preserve">Verify Website: </t>
    </r>
    <r>
      <rPr>
        <u/>
        <sz val="12"/>
        <color rgb="FF1155CC"/>
        <rFont val="Arial"/>
      </rPr>
      <t>http://www.stariso.co.uk/clients</t>
    </r>
  </si>
  <si>
    <t>ISO 13485:2016 (Medical Devices - Quality Management Systems)</t>
  </si>
  <si>
    <t xml:space="preserve">2. QVA  </t>
  </si>
  <si>
    <r>
      <rPr>
        <sz val="12"/>
        <rFont val="Arial"/>
      </rPr>
      <t xml:space="preserve">Verify Website: </t>
    </r>
    <r>
      <rPr>
        <u/>
        <sz val="12"/>
        <color rgb="FF1155CC"/>
        <rFont val="Arial"/>
      </rPr>
      <t>https://www.gaafs.us/certified-organizations</t>
    </r>
  </si>
  <si>
    <t>CE</t>
  </si>
  <si>
    <t>3. UKCERT</t>
  </si>
  <si>
    <t>Charges Diffrent</t>
  </si>
  <si>
    <t>GMP (Good Manufacturing Practice)</t>
  </si>
  <si>
    <t>4. ICIUK</t>
  </si>
  <si>
    <t>HACCP (Hazard Analysis and Critical Control Points)</t>
  </si>
  <si>
    <t>5.QRO</t>
  </si>
  <si>
    <t>HALAL</t>
  </si>
  <si>
    <t>6. EUROCERT</t>
  </si>
  <si>
    <t>KOSHER STANDARD - FOODS</t>
  </si>
  <si>
    <t>7. QCAS</t>
  </si>
  <si>
    <t>GHP</t>
  </si>
  <si>
    <t>8. IQC UK</t>
  </si>
  <si>
    <t>GLP (Good Laboratory Practice)</t>
  </si>
  <si>
    <t>9. ARS</t>
  </si>
  <si>
    <t>CMMI-Dev V 2.0 Maturity CMMI Level-3</t>
  </si>
  <si>
    <t xml:space="preserve">CMMI-Dev V 2.0 Maturity CMMI Level-5 </t>
  </si>
  <si>
    <t>ROHS (Directive 2002/95/EC)</t>
  </si>
  <si>
    <t>BIFMA Level-2</t>
  </si>
  <si>
    <t>BIFMA Level-3</t>
  </si>
  <si>
    <t xml:space="preserve">IATF 16949:2016 </t>
  </si>
  <si>
    <t>SA 8000 (Social Accountability)</t>
  </si>
  <si>
    <t>USFDA (US FDA Regulatory Guidlines for Scientific and Medical Instruments)</t>
  </si>
  <si>
    <t>ORGANIC</t>
  </si>
  <si>
    <t>GREEN GUARD(UL)</t>
  </si>
  <si>
    <t>WHO-GMP (As per WHO Guidelines)</t>
  </si>
  <si>
    <t>GLOBAL G.A.P</t>
  </si>
  <si>
    <t>ISO/IEC 17065:2012 (Conformity assessment-requirements for bodies certifying products, processes and services)</t>
  </si>
  <si>
    <t>SEFA</t>
  </si>
  <si>
    <t>SEFA 8</t>
  </si>
  <si>
    <t>ISO 31000:2018 (Risk Management-Guidelines)</t>
  </si>
  <si>
    <t>ISO 50001:2018 (Energy Management Systems)</t>
  </si>
  <si>
    <t>GREEN PRO (Green Product Certification)</t>
  </si>
  <si>
    <t>ISO/IEC 17020:2012 (Conformity assessment)</t>
  </si>
  <si>
    <t>ISO/IEC 27017:2015 (Information Technology — Security techniques)</t>
  </si>
  <si>
    <t>ISO/TC 309 (Governance of Organizations)</t>
  </si>
  <si>
    <t>ISO 20000-1:2018 (Information Technology Managment Systems)</t>
  </si>
  <si>
    <t>ISO 20121:2012 (Event Sustainability Managment System)</t>
  </si>
  <si>
    <t>ISO 21001:2018 (Educational Organization Managment System)</t>
  </si>
  <si>
    <t>ISO 22241-1:2019 (Diesel Engine-NOx reduction agent AUS 32- part 1)</t>
  </si>
  <si>
    <t>ISO 37000:2021 (Governance of Organizations-Guidance)</t>
  </si>
  <si>
    <t>ISO 37001:2016 (Anti-Bribery Management Systems)</t>
  </si>
  <si>
    <t>ISO 26000:2010 (Guidance of social responsibility)</t>
  </si>
  <si>
    <t>ISO 17088:2021 (Specifications for Compostable Plastics)</t>
  </si>
  <si>
    <t>ISO 10001:2018 (Quality Management — Customer Satisfaction)</t>
  </si>
  <si>
    <t>ISO 29993:2017 (Learning services outside formal education)</t>
  </si>
  <si>
    <t>ISO 18788:2015 (Management system for private security operations — Requirements with guidance for use)</t>
  </si>
  <si>
    <t xml:space="preserve">ISO 14847: 1999 ( Rotary Positive displacement pumps- Technical requirements) </t>
  </si>
  <si>
    <t>ISO 29990:2010</t>
  </si>
  <si>
    <t>BRCGS (Global supply chain Assurance)</t>
  </si>
  <si>
    <t>GRIHA (Green Rating For Integrated Habitat Assessment)</t>
  </si>
  <si>
    <t>AIOTA (All India Occupational Therapists' Association)</t>
  </si>
  <si>
    <t>BRC Global Standards- Foods (Issue 8“Grade C”)</t>
  </si>
  <si>
    <t>5S (WORKPLACE ORGANIZING MANAGEMENT SYSTEMS)</t>
  </si>
  <si>
    <t>UL (STANDARD FOR SAFETY)</t>
  </si>
  <si>
    <t>Indoor Advantage Gold</t>
  </si>
  <si>
    <t xml:space="preserve">9001:2015 =  2680/- </t>
  </si>
  <si>
    <t>FSSC 22000 (Food Safety System Certification)</t>
  </si>
  <si>
    <t>27001:2013 = 10360/-</t>
  </si>
  <si>
    <t>REACH Compliant</t>
  </si>
  <si>
    <t>20000-1:2018 = 2680/-</t>
  </si>
  <si>
    <t>SEDEX (SUPPLIER ETHICAL DATA EXCHANGE)</t>
  </si>
  <si>
    <t>ISO 16001:2017 (Earth-moving machinery-object detection systems and visibility
aids-performance requirements and tests)</t>
  </si>
  <si>
    <t>ISO 3834-2:2005 (Quality requirements for fusion welding of metallic materials)
(Part 2: Comprehensive quality requirements)</t>
  </si>
  <si>
    <t>ETL</t>
  </si>
  <si>
    <t>E1</t>
  </si>
  <si>
    <t>Combo 9001, 14001 &amp; 45001</t>
  </si>
  <si>
    <t>ISO 17100:2015 (Translation services — Requirements for translation services )</t>
  </si>
  <si>
    <t>ISO18587:2017 (Translation services )</t>
  </si>
  <si>
    <t>ISO IAF Certificate Service</t>
  </si>
  <si>
    <t>IAF</t>
  </si>
  <si>
    <t>Survillance Charges Every Year 50% of Current Fees Charges Applicable</t>
  </si>
  <si>
    <t>Body: EGAC</t>
  </si>
  <si>
    <t>IAF ISO Company</t>
  </si>
  <si>
    <t>1. ICV</t>
  </si>
  <si>
    <r>
      <rPr>
        <sz val="12"/>
        <rFont val="Arial"/>
      </rPr>
      <t xml:space="preserve">Verify Website: </t>
    </r>
    <r>
      <rPr>
        <u/>
        <sz val="12"/>
        <color rgb="FF1155CC"/>
        <rFont val="Arial"/>
      </rPr>
      <t>http://www.icvassessments.com/certified-organisation</t>
    </r>
  </si>
  <si>
    <t>2. QRO</t>
  </si>
  <si>
    <r>
      <rPr>
        <sz val="12"/>
        <rFont val="Arial"/>
      </rPr>
      <t xml:space="preserve">Verify Website: </t>
    </r>
    <r>
      <rPr>
        <u/>
        <sz val="12"/>
        <color rgb="FF1155CC"/>
        <rFont val="Arial"/>
      </rPr>
      <t>http://qrocert.org/verify.aspx</t>
    </r>
  </si>
  <si>
    <t>3. MMS</t>
  </si>
  <si>
    <t>ISO IAS-IAF Certificate Service</t>
  </si>
  <si>
    <t>IAS-IAF</t>
  </si>
  <si>
    <t>Body: IAS</t>
  </si>
  <si>
    <t>1. SCK</t>
  </si>
  <si>
    <r>
      <rPr>
        <sz val="12"/>
        <rFont val="Arial"/>
      </rPr>
      <t xml:space="preserve">Verify Website: </t>
    </r>
    <r>
      <rPr>
        <u/>
        <sz val="12"/>
        <color rgb="FF1155CC"/>
        <rFont val="Arial"/>
      </rPr>
      <t>https://sckcerts.com/search-client/</t>
    </r>
  </si>
  <si>
    <t>Note: IAS IAF Also Visible on IAF Website</t>
  </si>
  <si>
    <r>
      <rPr>
        <sz val="12"/>
        <rFont val="Arial"/>
      </rPr>
      <t xml:space="preserve">Verify Website: </t>
    </r>
    <r>
      <rPr>
        <u/>
        <sz val="12"/>
        <color rgb="FF1155CC"/>
        <rFont val="Arial"/>
      </rPr>
      <t>www.iafcertsearch.org</t>
    </r>
  </si>
  <si>
    <t>-:Company Reg:-</t>
  </si>
  <si>
    <t>Required Documents For Pvt Ltd/LLP Company Reg:-(Minimum 2 Director Required)</t>
  </si>
  <si>
    <t>All Documents Should be Required Proper in Scan PDF Format Only</t>
  </si>
  <si>
    <t>1. All Director Passport Size Photo</t>
  </si>
  <si>
    <t>2. All Director Aadhar Card</t>
  </si>
  <si>
    <t>3. All Director PAN Card</t>
  </si>
  <si>
    <t>4. Office Address Google Location With Latitude &amp; Lognitude</t>
  </si>
  <si>
    <t>5.Address Proof(Electric City Bill/Any Utility BIll or Rent Agreement if business Place</t>
  </si>
  <si>
    <t>6.Type of Company(Nature of Business)</t>
  </si>
  <si>
    <t>7. All Director Bank Account Details(Latest Bank Statment)</t>
  </si>
  <si>
    <t>8.NOC from Landlord</t>
  </si>
  <si>
    <t>9.All Director Mobile No. &amp; Mail Id(Mo.No. Should Be Linked with Aadhar)</t>
  </si>
  <si>
    <t>10. Company Authorized Capital &amp; Paid Up Capital Share Amount &amp; Director Share % Details</t>
  </si>
  <si>
    <t>11.2 Name of Company For Name Approval</t>
  </si>
  <si>
    <t>12. If Director have any other Company/NGO Director Previously then send last Complete details</t>
  </si>
  <si>
    <t>13. All Director Speciman Signature Copy on Plane  Paper</t>
  </si>
  <si>
    <t>14. Authorisation Letter</t>
  </si>
  <si>
    <t>-:Section-8 NGO Reg:-</t>
  </si>
  <si>
    <t>Required Documents For Section-8 NGO Reg:-(Minimum 2 Director Required)</t>
  </si>
  <si>
    <t>11.2 Name of NGO For Name Approval</t>
  </si>
  <si>
    <t xml:space="preserve"> -:OPC Company Registration:-</t>
  </si>
  <si>
    <t>Required Documents For OPC Pvt Ltd Company Reg:-(1 Director &amp; 1 Nominee Required)</t>
  </si>
  <si>
    <t>1. Director Passport Size Photo</t>
  </si>
  <si>
    <t>2. Director Aadhar Card</t>
  </si>
  <si>
    <t>3. Director PAN Card</t>
  </si>
  <si>
    <t>7. Director Bank Account Details(Latest Bank Statment)</t>
  </si>
  <si>
    <t>9.Director Mobile No. &amp; Mail Id(Mo.No. Should Be Linked with Aadhar)</t>
  </si>
  <si>
    <t>13. Director Speciman Signature Copy on Plane  Paper</t>
  </si>
  <si>
    <t>Nominee Details:-</t>
  </si>
  <si>
    <t>1. Nominee Passport Size Photo</t>
  </si>
  <si>
    <t>2. Nominee Aadhar Card</t>
  </si>
  <si>
    <t>3. Nominee PAN Card</t>
  </si>
  <si>
    <t>4. Nominee Bank Account Details(Latest Bank Statment)</t>
  </si>
  <si>
    <t>5.Nominee Mobile No. &amp; Mail Id(Mo.No. Should Be Linked with Aadhar)</t>
  </si>
  <si>
    <t>6.Nominee Speciman Signature Copy on Plane  Paper</t>
  </si>
  <si>
    <t>7. Authorisation Letter</t>
  </si>
  <si>
    <t>Pvt Ltd/OPC Company Reg</t>
  </si>
  <si>
    <t>We will provide you "Company PAN ,TAN , ESIC, PF, MOA &amp; AOA Certificate , All Director Of DSC , DIN , Company Name Approval , Company Registration Certificate". Request for Bank Account opening</t>
  </si>
  <si>
    <t>LLP Company Reg</t>
  </si>
  <si>
    <t>We will provide you " LLP Company PAN ,TAN , DSC , DIN , LLP Company Name Approval , LLP Company Registration Certificate"., Request for Bank Account opening ,</t>
  </si>
  <si>
    <t>NGO Reg</t>
  </si>
  <si>
    <t>We will provide you "NGO PAN ,TAN, MOA &amp; AOA Certificate , All Director Of DSC , DIN , NGO Name Approval , NGO Registration Certificate".,  Request for Bank Account opening</t>
  </si>
  <si>
    <t>Pvt Ltd Company Charges(As Per State)</t>
  </si>
  <si>
    <t>Pvt Ltd Company Reg Charges: 7000+18%gst=8260/- (Including Government Fees and Our fees) With complete work, No hidden charges</t>
  </si>
  <si>
    <t xml:space="preserve">LLP Charges For All State: </t>
  </si>
  <si>
    <t>LLP Company Reg Charges: 6000+18%gst=7080/- (Including Government Fees and Our fees) With complete work, No hidden charges</t>
  </si>
  <si>
    <t>OPC Charges(As Per State)</t>
  </si>
  <si>
    <t>OPC Company Reg Charges: 7000+18%gst=8260/- (Including Government Fees and Our fees) With complete work, No hidden charges</t>
  </si>
  <si>
    <t>NGO Charges(As Per State)</t>
  </si>
  <si>
    <t>NGO Reg Charges: 7000+18%gst=8260/- (Including Government Fees and Our fees) With complete work, No hidden charges</t>
  </si>
  <si>
    <t>New GST Reg</t>
  </si>
  <si>
    <t>Only GST Reg Charges: 1000+18% GST= 1180/-</t>
  </si>
  <si>
    <t>Annual New GST Package</t>
  </si>
  <si>
    <t>GST Annual Package: 4000+gst=4720/-(Free GST Reg and 12 month GST return file included up to 10-15 invoice or 100-150 entry in excel*)</t>
  </si>
  <si>
    <t>GST Return Annual Package</t>
  </si>
  <si>
    <t>GST Return Annual Package:3000+gst=3540/- (12 month GST return file included up to 10-15 invoice or 100-150 entery in excel*)</t>
  </si>
  <si>
    <t>GST NIL Return Annual Package</t>
  </si>
  <si>
    <t>GST NIL Return Annual Package: 2000+gst=2360/- (12 Month Nil Return file or Included 4-5 Invoice*)</t>
  </si>
  <si>
    <t>Monthly Accounting Rate List:-</t>
  </si>
  <si>
    <t>1.E-Commerce(online Amazon/Flipkart) work (Data Type In Excel Sheet):-</t>
  </si>
  <si>
    <t>a.1-500 Entry in Excel/Report Charges: 2000+18%GST=2360/-</t>
  </si>
  <si>
    <t>b.501-1500 Entry in Excel/Report Charges: 3500+18%GST=4130/-</t>
  </si>
  <si>
    <t>c.1501+ Entry in Excel/Report Charges: 5000+18%GST=5900/-</t>
  </si>
  <si>
    <t>2.Offline Work(Data Type: Bill In Photos):-</t>
  </si>
  <si>
    <t>a.1-100 Bill Photos Charges:3000+18%GST=3540/-</t>
  </si>
  <si>
    <t>b.101-300 Bill Photos Charges:4000+18%GST=4720/-</t>
  </si>
  <si>
    <t>c.301-500 Bill Photos Charges:5000+18%GST=5900/-</t>
  </si>
  <si>
    <t>3.Offline Work Without Audit(Data Type:Excel Sheet/Software Report):-</t>
  </si>
  <si>
    <t>a.1-500 Entry in Excel/Report Charges: 3000+18%GST=3540/-</t>
  </si>
  <si>
    <t>b.501-1000 Entry in Excel/Report Charges: 4000+18%GST=4720/-</t>
  </si>
  <si>
    <t>c.1001-1500 Entry in Excel/Report Charges: 5000+18%GST=5900/-</t>
  </si>
  <si>
    <t>d.1501+ Entry in Excel/Report Charges: 6000+18%GST=7080/-</t>
  </si>
  <si>
    <t>4.Offline Work With Audit(Data Type:Excel Sheet/Software Report with Invoices):-</t>
  </si>
  <si>
    <t>a.1-500 Entry in Excel/Report With Invoices Charges: 5000+18%GST=5900/-</t>
  </si>
  <si>
    <t>b.501-1000 Entry in Excel/Report With Invoices Charges: 7000+18%GST=8260/-</t>
  </si>
  <si>
    <t>c.1001-1500 Entry in Excel/Report With Invoices Charges: 9000+18%GST=10620/-</t>
  </si>
  <si>
    <t>d.1501-3000 Entry in Excel/Report With Invoices Charges: 10000+18%GST=11800/-</t>
  </si>
  <si>
    <t>-:Gst Registration :-</t>
  </si>
  <si>
    <t>Documents required for Start-up India Certification</t>
  </si>
  <si>
    <t>1. Aadhar Card</t>
  </si>
  <si>
    <t>-:Fssai Basic Registration:-</t>
  </si>
  <si>
    <t>Required Documents For Pvt Ltd/LLP Company Reg:-</t>
  </si>
  <si>
    <t>1 - Certificate of Incorporation</t>
  </si>
  <si>
    <t>2. Pan Card</t>
  </si>
  <si>
    <t>1. Passport Size Photo</t>
  </si>
  <si>
    <t>1. All Director Passport Size Photo(Minimum 2 Director Required)</t>
  </si>
  <si>
    <t>2 - All Directors Aadhaar Card</t>
  </si>
  <si>
    <t>3. Passport Size Photo</t>
  </si>
  <si>
    <t>2. Aadhar Card</t>
  </si>
  <si>
    <t>3 - All Directors Email id and Mobile Number</t>
  </si>
  <si>
    <t>4. Address Proof (electric City bill/ NOC/Rent agreement)</t>
  </si>
  <si>
    <t>3. Pan Card</t>
  </si>
  <si>
    <t>4 - Company MOA</t>
  </si>
  <si>
    <t>5. Business Name &amp; Nature of business</t>
  </si>
  <si>
    <t>4. Address Proof: Electric City Bill or {Rent Aggrement(If Place rented)}</t>
  </si>
  <si>
    <t>5 - Nature of business</t>
  </si>
  <si>
    <t>6. Mo. No. &amp; Email id</t>
  </si>
  <si>
    <t>5. Business Name</t>
  </si>
  <si>
    <t>5.Address Proof(Electric City Bill or Rent Agreement if business Place</t>
  </si>
  <si>
    <t xml:space="preserve">6. Business Work Details </t>
  </si>
  <si>
    <t>has on Rented)</t>
  </si>
  <si>
    <t>Below-mentioned documents are required for FCRA Registration:-</t>
  </si>
  <si>
    <t>7. Mo. No. &amp; Email Id</t>
  </si>
  <si>
    <t>1.Self-attested copy of incorporation certificate, trust deed, or any other certificate hold by such entity</t>
  </si>
  <si>
    <t>-:GST Return:-</t>
  </si>
  <si>
    <t xml:space="preserve"> -:FSSAI State/Central Registration:-</t>
  </si>
  <si>
    <t>8.NOC from Landlord(for rented property)</t>
  </si>
  <si>
    <t>2.Particulars of Non-Profit Organization along with the PAN.</t>
  </si>
  <si>
    <t>1. GST Login Details</t>
  </si>
  <si>
    <t>Required Documents For State FSSAI Registration:-</t>
  </si>
  <si>
    <t>3.Copy of MOA &amp; AOA of institutions, Impression of the chief judiciary (It shall be in JPG From)</t>
  </si>
  <si>
    <t>2. Sale /Purchased Invoice</t>
  </si>
  <si>
    <t>4.A detailed report on activities of the preceding 3 years.</t>
  </si>
  <si>
    <t>.</t>
  </si>
  <si>
    <t>2. PAN Card</t>
  </si>
  <si>
    <t>5.Audited copy of financial statement, P&amp;L account, Income-Expenditure details, and cash flow statement of the preceding 3 years.</t>
  </si>
  <si>
    <t xml:space="preserve"> -:ITR Return Business Person:-</t>
  </si>
  <si>
    <t>6.Certified true copies of the resolution passed by a governing body authorized by Non- profit organization.</t>
  </si>
  <si>
    <t>1. Pan Card</t>
  </si>
  <si>
    <t>-:Propritorship Firm:-</t>
  </si>
  <si>
    <t>FCRA Gov Fees: 15000/- Our Fees 10000+gst and Officer Fees 15-20k</t>
  </si>
  <si>
    <t>5. Bank passbook copy front page/ bank statement</t>
  </si>
  <si>
    <t>3. All Bank Statement Last 1 Year</t>
  </si>
  <si>
    <t>6. Business Name</t>
  </si>
  <si>
    <t>4. Policy Details(If have any)</t>
  </si>
  <si>
    <t>7. Nature of business</t>
  </si>
  <si>
    <t>5. Work Details</t>
  </si>
  <si>
    <t>8. Business proof (GSTIN Copy/MSME Copy)</t>
  </si>
  <si>
    <t>6. Any Home Loan Dedction</t>
  </si>
  <si>
    <t>9.Food item name</t>
  </si>
  <si>
    <t>7. Mobile no. &amp; mail id</t>
  </si>
  <si>
    <t>10.Blueprint/ Layout of place</t>
  </si>
  <si>
    <t>11.Machine and equipment name list and details capacity</t>
  </si>
  <si>
    <t xml:space="preserve"> -:ISO Registration:-</t>
  </si>
  <si>
    <t>12.Production unit photos</t>
  </si>
  <si>
    <t>Required Documents For Partnernship Firm Reg:-</t>
  </si>
  <si>
    <t>1. Business Name(GST Certificate Copy /Any Business Proof)</t>
  </si>
  <si>
    <t>13.Product Per day capacity details</t>
  </si>
  <si>
    <t>1. Both Partner Aadhar Card</t>
  </si>
  <si>
    <t>2. Business Address</t>
  </si>
  <si>
    <t>14. Mo. No. &amp; Email id</t>
  </si>
  <si>
    <t>2. Both Partner PAN Card</t>
  </si>
  <si>
    <t>3. Work/Scope Details</t>
  </si>
  <si>
    <t>3. Both Partner Passport Size Photo</t>
  </si>
  <si>
    <t>4. Mo. No. &amp; Email Id</t>
  </si>
  <si>
    <t>4. Address Proof (electric City bill/ Rent agreement)</t>
  </si>
  <si>
    <t>5. Courier Address</t>
  </si>
  <si>
    <t>EPFO employer id documents</t>
  </si>
  <si>
    <t>6. Both Partner Mo. No. &amp; Email id</t>
  </si>
  <si>
    <t xml:space="preserve">1.Name of Firm </t>
  </si>
  <si>
    <t>Required Documents For Psara License:-</t>
  </si>
  <si>
    <t>2. Address Proof: Electric City Bill or {Rent Aggrement(If Place rented)}</t>
  </si>
  <si>
    <t>1.Company Registration Certificate ( Propritorship/Pvt Ltd or LLP )</t>
  </si>
  <si>
    <t>8. Both Partner Bank Passbook/cancel cheque photo</t>
  </si>
  <si>
    <t>3. Aadhar Card</t>
  </si>
  <si>
    <t>2.Registration with GST</t>
  </si>
  <si>
    <t>9. Both Partner Share Capital Details</t>
  </si>
  <si>
    <t>4. Pan Card</t>
  </si>
  <si>
    <t>3.Registration of establishment under Shops &amp; Establishment</t>
  </si>
  <si>
    <t>Soft Copy Deed , FIRM Pan Card , FIRM GST (Opational) , Stamp self rahega.</t>
  </si>
  <si>
    <t>5. Mo. No. &amp; Email Id</t>
  </si>
  <si>
    <t>4.Registration under the Contractual labour Act</t>
  </si>
  <si>
    <t>Required Documents For NGO:-</t>
  </si>
  <si>
    <t>6.Start date of Firm</t>
  </si>
  <si>
    <t>5.Provident fund (PF) registration</t>
  </si>
  <si>
    <t>7.GST/MSME certificate</t>
  </si>
  <si>
    <t>6.Employees State Insurance (ESI) registration</t>
  </si>
  <si>
    <t>8. Passport Size Photo</t>
  </si>
  <si>
    <t>7.MOU with Training Institute</t>
  </si>
  <si>
    <t>9. Total Worker (Male/Female)</t>
  </si>
  <si>
    <t>8.The MOA and AOA of the company or partnership deed or such other agreement document.</t>
  </si>
  <si>
    <t>10. Nature Of Business</t>
  </si>
  <si>
    <t>9.Details of the directors(Photo, Aadhar card, Pan Card seld attested)</t>
  </si>
  <si>
    <t>10.Logo for the security agency</t>
  </si>
  <si>
    <t>Import/Export Reg</t>
  </si>
  <si>
    <t>11.The armed used or to be used details and the licenses obtained by them</t>
  </si>
  <si>
    <t>6.Type of NGO(Nature of Activity)</t>
  </si>
  <si>
    <t>Documents Required</t>
  </si>
  <si>
    <t>12. Employees details.</t>
  </si>
  <si>
    <t>13.The uniform pattern or dress code of such deputing security agents</t>
  </si>
  <si>
    <t>14.The character and background verification certificate for the employees.</t>
  </si>
  <si>
    <t>9.All Director Mobile No. &amp; Mail Id (Mo.No. Should Be Linked with Aadhar)</t>
  </si>
  <si>
    <t>3. PAN Card</t>
  </si>
  <si>
    <t>15.The board resolution or such document showing the decision taken to start a business of PSARA and duly signed by the authorized signatory of the company or organization.</t>
  </si>
  <si>
    <t>10. NGO Authorized Capital &amp; Paid Up Capital Share Amount &amp; Director Share % Details</t>
  </si>
  <si>
    <t>4. Address Proof (Electric City Bill</t>
  </si>
  <si>
    <t>16.Required affidavits as stated in PSARA act.</t>
  </si>
  <si>
    <t>5. Proof of Registerd office.</t>
  </si>
  <si>
    <t>17.4 Angle Side photo with complete dress, logo and white background.</t>
  </si>
  <si>
    <t>6. Firm Cancel cheque</t>
  </si>
  <si>
    <t>18.Address proof of the place of the business</t>
  </si>
  <si>
    <t>Documents For Trust Reg.</t>
  </si>
  <si>
    <t xml:space="preserve">7. Work details </t>
  </si>
  <si>
    <t>1.Proof of Identity for Trustor &amp; Trustee-Aadhaar Card/Voter ID/Passport/Driving License</t>
  </si>
  <si>
    <t>8. Mo. No. And Email id</t>
  </si>
  <si>
    <t>Charges:-</t>
  </si>
  <si>
    <t>2.Address Proof of Registered Office- Copy of Certificate of Property/Utility Bills (Telephone, Water, Electricity Bill)</t>
  </si>
  <si>
    <t>Govt Fees –</t>
  </si>
  <si>
    <t>3.In the case of rented property, Rent Agreement/NOC from the Landlord is required.</t>
  </si>
  <si>
    <t>Rs. 25,000 For One State (Only Psara License)</t>
  </si>
  <si>
    <t>4.Objective of the Trust Deed.</t>
  </si>
  <si>
    <t>Trademark</t>
  </si>
  <si>
    <t>Validity: 5 Years</t>
  </si>
  <si>
    <t>5.Particulars of the Trustee and settlor (Self-attested copy Id and Address Proof along with the information related to occupation).</t>
  </si>
  <si>
    <t>1.Trademark Name</t>
  </si>
  <si>
    <t>6.Trust Deed on Proper Stamp Value.</t>
  </si>
  <si>
    <t>2. Passport size photo</t>
  </si>
  <si>
    <t>Professional Fees:</t>
  </si>
  <si>
    <t>7.Photographs of Trustee and settlor.</t>
  </si>
  <si>
    <t>(Our Counsultancy Charges)</t>
  </si>
  <si>
    <t>8.PAN Card of Trustee and settlor.</t>
  </si>
  <si>
    <t>4. PAN Card,</t>
  </si>
  <si>
    <t>Rs. 20000/- (Only For Psara License Apply)</t>
  </si>
  <si>
    <t>9.Total number of trustees.</t>
  </si>
  <si>
    <t>5. Address Proof:- Rent Aggrement/electric City bill/GST certificate</t>
  </si>
  <si>
    <t>10.The Registered address of the trust.</t>
  </si>
  <si>
    <t>6. Business Detail</t>
  </si>
  <si>
    <t>Note:- if required any other registration that you don't have, we will provide with charges.</t>
  </si>
  <si>
    <t>11.Proposed name of the trust.</t>
  </si>
  <si>
    <t>7. DSC(Digital Signature)</t>
  </si>
  <si>
    <t>12.Rules and regulations to be strictly followed by the Trust.</t>
  </si>
  <si>
    <t>8. Mobile No. and Mail Id and DSC</t>
  </si>
  <si>
    <t>Note:-(Department Charges as per officer , we will try best in minimum with negotiatoon)</t>
  </si>
  <si>
    <t>13.Name of 2 witnesses and their ID proof also.</t>
  </si>
  <si>
    <t>9. Logo if any available(Optional)</t>
  </si>
  <si>
    <t>14.Mo. No. and Email Id of All Person.</t>
  </si>
  <si>
    <t>Documents For DSC:-</t>
  </si>
  <si>
    <t>Payment terms : - Gov. Fees Full Advance and Counsulatncy 50 % advance</t>
  </si>
  <si>
    <t>and rest 25% after filling and 25% after approval</t>
  </si>
  <si>
    <t>Nidhi Company Reg:-</t>
  </si>
  <si>
    <t>Required Documents:-</t>
  </si>
  <si>
    <t>3. Mo. No. &amp; Email id</t>
  </si>
  <si>
    <t>Working Duration:</t>
  </si>
  <si>
    <t>120 days to 180 Days</t>
  </si>
  <si>
    <t>2.All Nidhi Member Details( Including Aadhar Card)</t>
  </si>
  <si>
    <t>Documents For Gem Portal Reg</t>
  </si>
  <si>
    <t>Note:- All charges are Exclude GST.</t>
  </si>
  <si>
    <t>4.Address Proof</t>
  </si>
  <si>
    <t>18% GST Applicable on Consultancy Charges.</t>
  </si>
  <si>
    <t>5.Type of Company</t>
  </si>
  <si>
    <t>6. Company Deed</t>
  </si>
  <si>
    <t>SHOP ACT REG.</t>
  </si>
  <si>
    <t>7.Bank Account Details</t>
  </si>
  <si>
    <t>Documents Require For Shop Act Reg.</t>
  </si>
  <si>
    <t>1. Passport Size Photograph of Employer</t>
  </si>
  <si>
    <t>9.Mobile No. &amp; Mail Id</t>
  </si>
  <si>
    <t>2. Photo of shop along with owner</t>
  </si>
  <si>
    <t>10. Name of Company</t>
  </si>
  <si>
    <t>8. Bank Passbook/cancel cheque photo</t>
  </si>
  <si>
    <t>3. List of Management Employees (.xls format)</t>
  </si>
  <si>
    <t>11. Initial Capital</t>
  </si>
  <si>
    <t>9. ITR Soft Copy (30-40 Page)</t>
  </si>
  <si>
    <t>4. Rates of Wages (.xls format)</t>
  </si>
  <si>
    <t>Note:-</t>
  </si>
  <si>
    <t>10.GST Certificate</t>
  </si>
  <si>
    <t>5. Details of Employees working in Establishment (.xls format)</t>
  </si>
  <si>
    <t>Minimum Directors- 2</t>
  </si>
  <si>
    <t>11. MSME certificate</t>
  </si>
  <si>
    <t>6. Employee Weekly Holidays(.xls format)</t>
  </si>
  <si>
    <t>Minimum members- 5</t>
  </si>
  <si>
    <t>7. Address proof of Establishment [Copy of shop's rent agreement (if on rent) or Shop's ownership document proof (if owner of shop)]</t>
  </si>
  <si>
    <t>Minimum capital requirement- Rs 5 Lakh (Total Including 3 Directors)</t>
  </si>
  <si>
    <t>8. Affidavit (Declaration Form)</t>
  </si>
  <si>
    <t>Charges Gov Fess 12000/- including 7 DSC</t>
  </si>
  <si>
    <t>Documents For Combo DSC:-</t>
  </si>
  <si>
    <t>9. Photo ID (PAN Card/Driving License/Aadhar Card/Passport)</t>
  </si>
  <si>
    <t>Counsultancy 5000+gst</t>
  </si>
  <si>
    <t>1. Photo</t>
  </si>
  <si>
    <t>10.All ID Proof of Owner</t>
  </si>
  <si>
    <t>11. Mo. No. Email Id</t>
  </si>
  <si>
    <t>Documents For Society Reg.</t>
  </si>
  <si>
    <t>1.Proof of Identity for All Members Aadhaar Card/Voter ID/Passport/Driving License</t>
  </si>
  <si>
    <t xml:space="preserve"> -:MSME Registration:- </t>
  </si>
  <si>
    <t>5. GST Certificate</t>
  </si>
  <si>
    <t>6. Aadhar Number should be Linked with Mo. No.</t>
  </si>
  <si>
    <t>4.Objective of the SocietyDeed.</t>
  </si>
  <si>
    <t>5. Deed on Proper Stamp Value.</t>
  </si>
  <si>
    <t>4. Address Proof (electric City bill)</t>
  </si>
  <si>
    <t>6.Photographs of Members</t>
  </si>
  <si>
    <t>Required Documents For OPC Pvt Ltd Company Reg:-</t>
  </si>
  <si>
    <t>7.PAN Card of Members</t>
  </si>
  <si>
    <t>8.Total number of members.</t>
  </si>
  <si>
    <t>9.The Registered address of the Society.</t>
  </si>
  <si>
    <t>8. Bank Details</t>
  </si>
  <si>
    <t>10.Proposed name of the Society</t>
  </si>
  <si>
    <t>11.Rules and regulations to be strictly followed by the Society</t>
  </si>
  <si>
    <t>Required Documents For Complete Psara License:-</t>
  </si>
  <si>
    <t>12.Name of 2 witnesses and their ID proof also.</t>
  </si>
  <si>
    <t>13.Mo. No. and Email Id of All Person.</t>
  </si>
  <si>
    <t>1.Details of the directors(Photo, Aadhar card, Pan Card self attested, Mobile Number, Email id)</t>
  </si>
  <si>
    <t>2.Logo for the security agency</t>
  </si>
  <si>
    <t>3.The armed used or to be used details and the licenses obtained by them</t>
  </si>
  <si>
    <t>Delhi Shop act Documents:-</t>
  </si>
  <si>
    <t>4. Employees details.</t>
  </si>
  <si>
    <t>1. Business Name</t>
  </si>
  <si>
    <t>10. Company Authorized Capital &amp; Paid Up Capital Amount</t>
  </si>
  <si>
    <t>5.The uniform pattern or dress code of such deputing security agents</t>
  </si>
  <si>
    <t>2. Business Address with Pin code</t>
  </si>
  <si>
    <t>11. If Director have any other Company/NGO Director Previously then send last Complete details</t>
  </si>
  <si>
    <t>6.The character and background verification certificate for the employees.</t>
  </si>
  <si>
    <t>3. Mobile Number &amp; Email ID</t>
  </si>
  <si>
    <t>12.2 Name of Company For Name Approval</t>
  </si>
  <si>
    <t>7.Required affidavits as stated in PSARA act.</t>
  </si>
  <si>
    <t>4. Telephone number if have any</t>
  </si>
  <si>
    <t>13. Nominee Details:-</t>
  </si>
  <si>
    <t>8.4 Angle Side photo with complete dress, logo and white background.</t>
  </si>
  <si>
    <t>5. Name of Owner with Father name</t>
  </si>
  <si>
    <t>a) Photo</t>
  </si>
  <si>
    <t xml:space="preserve">9.Address proof of the place of the business </t>
  </si>
  <si>
    <t>6. Name Of Manager With father name</t>
  </si>
  <si>
    <t>b) Aadhar card</t>
  </si>
  <si>
    <t>10. Nominee Details</t>
  </si>
  <si>
    <t>7. Nature of Business</t>
  </si>
  <si>
    <t>c) Pan Card</t>
  </si>
  <si>
    <t>8. No. Of Employee</t>
  </si>
  <si>
    <t>d) Voter Id card</t>
  </si>
  <si>
    <t>e) latest bank statment</t>
  </si>
  <si>
    <t>d)Mobile no. &amp; Email id(Mo.No. Should Be Linked with Aadhar)</t>
  </si>
  <si>
    <t>ITR Salary Person Docx:-</t>
  </si>
  <si>
    <t>Odisha Shop act Documents:-</t>
  </si>
  <si>
    <t>-:Company GST Reg:-</t>
  </si>
  <si>
    <t>1. Company Incorporation Certificate</t>
  </si>
  <si>
    <t>2. Pan card</t>
  </si>
  <si>
    <t>2. MOA &amp; AOA</t>
  </si>
  <si>
    <t>3. Mobile No. &amp; Email Id</t>
  </si>
  <si>
    <t>3. Authorize Director NOC</t>
  </si>
  <si>
    <t>4. Income Details(bank Statment/Forum16)</t>
  </si>
  <si>
    <t>4. Owner Aadhar card and Pan card</t>
  </si>
  <si>
    <t>4. Company PAN Card</t>
  </si>
  <si>
    <t>5. Nature of Business</t>
  </si>
  <si>
    <t>5. All Director Passport Size Photo, Aadhar Card, PAN Card, DIN Number, Mobile Number and Email ID.</t>
  </si>
  <si>
    <t>6. No. Of Employee</t>
  </si>
  <si>
    <t>6. Company Address Proof Electric City Bill and Rent Agreement.</t>
  </si>
  <si>
    <t>7. GST certificate</t>
  </si>
  <si>
    <t>Shop act Registration Details:-</t>
  </si>
  <si>
    <t>8. Authorize person details</t>
  </si>
  <si>
    <t>Required documents for CLRA.</t>
  </si>
  <si>
    <t>Adhar card and pan card of the owner</t>
  </si>
  <si>
    <t>Details for HUF PAN Card Application</t>
  </si>
  <si>
    <t>MSME certification ( if any)</t>
  </si>
  <si>
    <t xml:space="preserve">1. The name of the HUF </t>
  </si>
  <si>
    <t>Passport Size photograph</t>
  </si>
  <si>
    <t>2. HUF’s address and residence proof</t>
  </si>
  <si>
    <t>Address proof of business premises.</t>
  </si>
  <si>
    <t>A. Copy of Karta’s Aadhaar card;</t>
  </si>
  <si>
    <t>Bank Account details</t>
  </si>
  <si>
    <t>B. Copy of Karta’s Voter ID;</t>
  </si>
  <si>
    <t>Number of workers</t>
  </si>
  <si>
    <t>C. Copy of Karta’s driver’s license or passport;</t>
  </si>
  <si>
    <t>Details of the workers</t>
  </si>
  <si>
    <t>D. Copy of Karta’s Ration card;</t>
  </si>
  <si>
    <t>8. GST registration</t>
  </si>
  <si>
    <t>Form 3</t>
  </si>
  <si>
    <t>3. Source of income to the corpus;</t>
  </si>
  <si>
    <t>9. Shop photograph  with owner</t>
  </si>
  <si>
    <t>Work Order</t>
  </si>
  <si>
    <t>4. Names, father’s name and addresses of all coparceners of the HUF, with affidavit made by the Karta;</t>
  </si>
  <si>
    <t>5. Signature of the Karta on the completed Form 49A.</t>
  </si>
  <si>
    <t>2000+ 18% GST our consultancy fees</t>
  </si>
  <si>
    <t xml:space="preserve">Required documents of CSR </t>
  </si>
  <si>
    <t>Duplicate of PAN Card of the NGO</t>
  </si>
  <si>
    <t>Email ID</t>
  </si>
  <si>
    <t>Mobile Number</t>
  </si>
  <si>
    <t>Address of the Entity</t>
  </si>
  <si>
    <t>Documents For Proffesional Tax Registration:-</t>
  </si>
  <si>
    <t>Subtleties of Governing Body Members (Trustees or Member of Societies)</t>
  </si>
  <si>
    <t>PAN Card</t>
  </si>
  <si>
    <t>Duplicate of Registration Certificate</t>
  </si>
  <si>
    <t>PAN Card of Company must be attested by the Director of the Company.</t>
  </si>
  <si>
    <t>Digital Signature of (Trustee/CEO/Chairperson/Secretary) with his PAN Number</t>
  </si>
  <si>
    <t>Certificate of Incorporation</t>
  </si>
  <si>
    <t>Required Documents For Resturant State FSSAI Registration:-</t>
  </si>
  <si>
    <t xml:space="preserve">Incorporation Certificate of the Company, including MOA and AOA </t>
  </si>
  <si>
    <t>1. Aadhar Card/Passport/Voter ID</t>
  </si>
  <si>
    <t>Bank Account</t>
  </si>
  <si>
    <t>-:Producer Company Reg (FPC):-</t>
  </si>
  <si>
    <t>Proof of Bank Account of Company, Cancelled Cheque and Bank Statement</t>
  </si>
  <si>
    <t>Lists</t>
  </si>
  <si>
    <t>4. Business Name</t>
  </si>
  <si>
    <t>1. Required Minimum 10 Producer/Members(Including Director)</t>
  </si>
  <si>
    <t>List of all Directors</t>
  </si>
  <si>
    <t>5. Nature of business</t>
  </si>
  <si>
    <t>2. Required Minimum 5 Director &amp; Maximum 15 Director</t>
  </si>
  <si>
    <t>Address Proof</t>
  </si>
  <si>
    <t>6. Restuarent Photos(Kitchen area, Sitting area and Front main photo with resturant name and stand with you)</t>
  </si>
  <si>
    <t>3. All Member &amp; Director Passport Size Photo</t>
  </si>
  <si>
    <r>
      <rPr>
        <sz val="12"/>
        <color rgb="FF212529"/>
        <rFont val="Arial"/>
      </rPr>
      <t xml:space="preserve">Address Proof of office location of the company with ownership papers in case the premise is owned by an applicant, in other cases </t>
    </r>
    <r>
      <rPr>
        <u/>
        <sz val="12"/>
        <color rgb="FF212529"/>
        <rFont val="Arial"/>
      </rPr>
      <t xml:space="preserve">rent agreement </t>
    </r>
    <r>
      <rPr>
        <sz val="12"/>
        <color rgb="FF212529"/>
        <rFont val="Arial"/>
      </rPr>
      <t>and (NOC) no objection certificate from the owner of the premises.</t>
    </r>
  </si>
  <si>
    <t>7. Mo. No. Email Id</t>
  </si>
  <si>
    <t>4. All Member &amp; Director Aadhar Card</t>
  </si>
  <si>
    <t>Identity Proof</t>
  </si>
  <si>
    <t>8. Address Proof(Electric city bill and Rent aggriment)</t>
  </si>
  <si>
    <t>5. All Member &amp; Director PAN Card</t>
  </si>
  <si>
    <t>Passport Size Photographs of all Directors. Identity proof from all the directors such as Aadhaar Card etc</t>
  </si>
  <si>
    <t>9. Water Testing Report</t>
  </si>
  <si>
    <t>6. All Member &amp; Director Voter ID Card/DL/Passport(Any one in these)</t>
  </si>
  <si>
    <t>Other Personal Documents</t>
  </si>
  <si>
    <t>7.Address Proof(Electric City Bill or Rent Agreement if business Place</t>
  </si>
  <si>
    <t>Documents of the Directors like I.D. proof such as PAN card, Passport, Driving License, Voter Card, Aadhaar Card is acceptable and for Address proof as Electricity Bill, Telephone Bills and other utility bills.</t>
  </si>
  <si>
    <t>Consent</t>
  </si>
  <si>
    <t>8.Type of Company(Nature of Business)</t>
  </si>
  <si>
    <t>Board Resolution passed by a Director of the Company authorizing Professional Tax Registration. Consent by partners for the application to register under Professional Tax.</t>
  </si>
  <si>
    <t>9. All Member &amp; Director Bank Account Details(Latest Bank Statment)</t>
  </si>
  <si>
    <t>Register</t>
  </si>
  <si>
    <t>10.NOC from Landlord(for rented property)</t>
  </si>
  <si>
    <t>The employees Attendance Register and Salary Register are also required.</t>
  </si>
  <si>
    <t>11.All Member &amp; Director Mobile No. &amp; Mail Id</t>
  </si>
  <si>
    <t>Authorization Letter</t>
  </si>
  <si>
    <t>12. Company Capital Share Amount &amp; Director Share % Details</t>
  </si>
  <si>
    <t>Authorization Letter with the signature by Director  for obtaining a user I.D. and Password of Professional Tax Department.</t>
  </si>
  <si>
    <t>13.2 Name of Company For Name Approval</t>
  </si>
  <si>
    <t>14. If Director have any other Company/NGO Director Previously then send last Complete details</t>
  </si>
  <si>
    <t>PF/ESIC Registration Docx:-</t>
  </si>
  <si>
    <t>Documents Required for80G And 12A  Certification</t>
  </si>
  <si>
    <t>15. Minimum 5 Lakh Capital</t>
  </si>
  <si>
    <t>1. Company Certificate/Partnership Deed/Any Propritor Certificate</t>
  </si>
  <si>
    <t>1) copy of PAN of Trust</t>
  </si>
  <si>
    <t>16. Sarpanch letter/ /Khasra - Khatuni/ Income Tax Return (ITR)with Agriculture Income/ Any other proof a person as a serving member</t>
  </si>
  <si>
    <t>2. Company MOA/AOA</t>
  </si>
  <si>
    <t>2) Income tax login credentials, if registered on portal</t>
  </si>
  <si>
    <t>17. Producer Card of Members</t>
  </si>
  <si>
    <t>3. Company/Firm PAN Card</t>
  </si>
  <si>
    <t>3) self certified copies of Trust deed, incorporation certificate and other related documents (Seal and sign)</t>
  </si>
  <si>
    <t>18. Farmer Certificate</t>
  </si>
  <si>
    <t>4. Director/Onwer KYC(Aadhar Car, Pan Card)</t>
  </si>
  <si>
    <t>4) Note on activities of trust.</t>
  </si>
  <si>
    <t>Charges: 20000+18%GST=23600/-(Including 10 DSC,Name Approval,Incorporation Certificate, PAN, TAN, ESIC, EPFO, DIN)This Quote for 10 Members Only</t>
  </si>
  <si>
    <t>5. GST Certificate If have</t>
  </si>
  <si>
    <t>5) Details of the DARPAN registration, if the organisation is registered on the DARPAN portal. If not then provide PAN adhar, mobile and email of Author/settlor and all the trustees.</t>
  </si>
  <si>
    <t>6. Bank Cancel Cheque Copy</t>
  </si>
  <si>
    <t>6) Documents related to modification or change in trust deed, if any</t>
  </si>
  <si>
    <t>7. Address Proof (Electric City Bill/Rent Aggriment)</t>
  </si>
  <si>
    <t>7) Digital Signature DSC</t>
  </si>
  <si>
    <t>8. Mo. No. &amp; Email Id</t>
  </si>
  <si>
    <t>8) 4 Photos of Activities</t>
  </si>
  <si>
    <t>Documents Required for Startup India Certification</t>
  </si>
  <si>
    <t>9. Employee Details</t>
  </si>
  <si>
    <t>2 - Company PAN</t>
  </si>
  <si>
    <t>Following APEDA documents are required with application form:</t>
  </si>
  <si>
    <t>3 - All Director's Pan Card and Aadhaar Card</t>
  </si>
  <si>
    <t>4 - All Director's Email id and Mobile number</t>
  </si>
  <si>
    <t>I. For Merchant exporter :-</t>
  </si>
  <si>
    <t>5 - Website URL (Optional)</t>
  </si>
  <si>
    <t>1. Self-certified copy of Import-Export code issued by D.G.F.T.</t>
  </si>
  <si>
    <t>6 - MSME Certificate (Optional)</t>
  </si>
  <si>
    <t>7 - Company MOA</t>
  </si>
  <si>
    <t>II. For Manufacturer exporter:-</t>
  </si>
  <si>
    <t>8 - Company Logo  (Optional)</t>
  </si>
  <si>
    <t>9 - About your business</t>
  </si>
  <si>
    <t>2. Exporter should furnish a self- attested copy of the registration of the company with the relevant certification agencies for the products given below :-</t>
  </si>
  <si>
    <t>10 - Number of employees in the company</t>
  </si>
  <si>
    <t>FSSAI/MSME (Udyam Registration certificate) / NOC issued by Pollution Control Board.</t>
  </si>
  <si>
    <t xml:space="preserve">Timing - 7-8 working days </t>
  </si>
  <si>
    <t>Charges - 3000+18% gst</t>
  </si>
  <si>
    <t>-: Public Limited Company Reg:-</t>
  </si>
  <si>
    <t>Dear Sir/Ma'am, Your Company/NGO Name Applied Today, Kindly Send Documents As per List with in 10 days because name approval will be valid for 15 days only  after name approval.</t>
  </si>
  <si>
    <t>Required Documents Company Reg:-</t>
  </si>
  <si>
    <t>1. Required Minimum 7 Members(Including Director)</t>
  </si>
  <si>
    <t>Documents required for Trade License For Delhi: 📝</t>
  </si>
  <si>
    <t>2. Required Minimum 3 Director &amp; Maximum 15 Director</t>
  </si>
  <si>
    <t>▪️Aadhar Card &amp; Photograph of Proprietor</t>
  </si>
  <si>
    <t>ICEGATE AD Code Registration Documents</t>
  </si>
  <si>
    <t>▪️Electricity Bill &amp; Rent Agreement</t>
  </si>
  <si>
    <t>1. Bank account Details</t>
  </si>
  <si>
    <t>▪️Site Plan/key Plan of the site</t>
  </si>
  <si>
    <t>2. Authorized Dealer Code</t>
  </si>
  <si>
    <t>▪️GST Registration Certificate</t>
  </si>
  <si>
    <t>3. e-SANCHIT IRN Number</t>
  </si>
  <si>
    <t>▪️Photograph of the establishment with the display of goods traded from the premises</t>
  </si>
  <si>
    <t>4.DSC</t>
  </si>
  <si>
    <t>Note: All documents must be self-attested. 🖋️</t>
  </si>
  <si>
    <t>6. IEC COde</t>
  </si>
  <si>
    <t>7. Email and Number</t>
  </si>
  <si>
    <t>Pricing: 💰</t>
  </si>
  <si>
    <t>8. Aadhar Card and pan card</t>
  </si>
  <si>
    <t>Govt. Fee (As per actual)100 sq feet aproxx 6k govt fee</t>
  </si>
  <si>
    <t>Consultancy Fee – 10000/-+18%GST</t>
  </si>
  <si>
    <t>Dear Sir/Mam, </t>
  </si>
  <si>
    <t>1. SUB- NSIC REGISTRATION. </t>
  </si>
  <si>
    <t>As per the telephonic discussed with you, I am sending the details &amp; other attachment of some important document for NSIC Registration ( Government Purchase Registration).</t>
  </si>
  <si>
    <t>Charges: 20000+18%GST=23600/-(Including 7 DSC,Name Approval,Incorporation Certificate, PAN, TAN, ESIC, EPFO, DIN)This Quote for 7 Members Only</t>
  </si>
  <si>
    <t>Tender License Registration ( G.P or Single Point Registration)</t>
  </si>
  <si>
    <t>The Government is the single largest buyer of a variety of goods. With a view to increase the share of purchases from the small-scale sector, the Government Stores Purchase Programme was launched in 1955-56. NSIC registers Micro &amp; small Enterprises (MSEs) under Single Point Registration scheme (SPRS) for participation in Government Purchases.</t>
  </si>
  <si>
    <t>Benefits of Registration</t>
  </si>
  <si>
    <t>The units registered under Single Point Registration Scheme of NSIC are eligible to get the benefits under “Public Procurement Policy for Micro &amp; Small Enterprises (MSEs) Order 2012” as notified by the Government of India, Ministry of Micro Small &amp; Medium Enterprises, New Delhi vide Gazette Notification dated 26.03.2012.</t>
  </si>
  <si>
    <t>·         Issue of the Tender Sets free of cost;</t>
  </si>
  <si>
    <t>·         Exemption from payment of Earnest Money Deposit (EMD),</t>
  </si>
  <si>
    <t>·         In tender participating MSEs quoting price within price band of L1+15 per cent shall also be allowed to supply a portion upto 20% of requirement by bringing down their price to L1 Price where L1 is non MSEs.</t>
  </si>
  <si>
    <t>Eligibility</t>
  </si>
  <si>
    <t>All Micro &amp; Small Enterprises which are registered with the Director of Industries (DI)/District Industries Centre (DIC) as manufacturing/service enterprises or having Acknowledgement of Entrepreneurs Memorandum (EM Part-II) &amp; Udyog Aadhar  are eligible for registration with NSIC under its Single Point Registration Scheme (SPRS).</t>
  </si>
  <si>
    <t>Micro &amp; Small Enterprises who have already commenced their commercial production but not completed one year of existence. The Provisional   Registration Certificate can be issued to such Micro &amp; Small Enterprises under Single Point Registration scheme with monitory limit of Rs. 5.00 Lacs which shall be valid for the period of one year only from the date of issue after levying the registration fee and obtaining the requisite documents.</t>
  </si>
  <si>
    <t>REGISTRATION PROCESS</t>
  </si>
  <si>
    <t>The Micro &amp; Small Enterprise has to submit the application form (in duplicate) along-with requisite fee and documents to the Zonal/Branch and Sub Office/Extension office of NSIC situated nearest to their location.</t>
  </si>
  <si>
    <t>Duplicate copy of the G.P. Registration Application Form submitted by the Micro &amp; Small Enterprise will be forwarded to the concerned SGC/ RITES along with copies of required documents and requisite Draft/Pay Order of inspection charges in favor of concerned Inspection Agency requesting for carrying out the Technical Inspection of Micro &amp; Small Enterprise and forward their recommendations in this regard.</t>
  </si>
  <si>
    <t>After receiving Inspection Report, NSIC will issue the GP Registration Certificate to Micro &amp; Small Enterprise for items/stores as recommended.</t>
  </si>
  <si>
    <t>Validity Period of G. P. Registration (Tender License or Single Point Registration)</t>
  </si>
  <si>
    <t>The G. P. Registration Certificate granted to the Micro &amp; Small Enterprise under Single Point Registration Scheme (Revised), 2003 is valid for Two Years and will be reviewed and renewed after every two years by verifying continuous Commercial and Technical Competence of the registered Micro &amp; Small Enterprise in manufacturing / producing the stores for which it has been registered by NSIC.</t>
  </si>
  <si>
    <t> 2-Raw Material Assistance (a Credit Facility by NSIC)</t>
  </si>
  <si>
    <t>We are dealing in providing the raw material assistance to the MSME’s of Delhi, Uttar Pradesh and Haryana through NSIC schemes. NSIC aims at helping MSEs by way of financing the purchase of Raw Material (both indigenous &amp; imported). This gives an opportunity to MSEs to focus better on manufacturing quality products.</t>
  </si>
  <si>
    <t>Benefits of the Scheme</t>
  </si>
  <si>
    <t>-          Financial Assistance for procurement of Raw Material upto 90 days</t>
  </si>
  <si>
    <t>-          MSEs helped to avail Economics of Purchases like bulk purchase; cash discount etc</t>
  </si>
  <si>
    <t>-          NSIC takes care of all the procedures, documentation &amp; issue of Letter of credit in case of imports.</t>
  </si>
  <si>
    <t> </t>
  </si>
  <si>
    <t>REGISTRATION FEE  : </t>
  </si>
  <si>
    <t>The registration Fee is based on the Net Sales Turnover as per latest audited Balance Sheet of the Micro &amp; Small Enterprise for the Registration, Renewal and any other amendment etc. The Fee structure is indicated in the table as below:   </t>
  </si>
  <si>
    <t>Required Document For State Society Registration:- fees 15000+18%GST=17700/-</t>
  </si>
  <si>
    <t>1. Name 4-5 of the proposed society</t>
  </si>
  <si>
    <t>Category (Net Sales Turnover Based)</t>
  </si>
  <si>
    <t>2. Minimum 7 Persons- From DELHI</t>
  </si>
  <si>
    <t>* President</t>
  </si>
  <si>
    <t>Vice President</t>
  </si>
  <si>
    <t> Fee</t>
  </si>
  <si>
    <t>* Secretary</t>
  </si>
  <si>
    <t>Joint Secretary</t>
  </si>
  <si>
    <t>*Treasurer</t>
  </si>
  <si>
    <t>I</t>
  </si>
  <si>
    <t>Executive Member</t>
  </si>
  <si>
    <t>Name, Address, Age, Occupation, Father’s Name</t>
  </si>
  <si>
    <t>Fee for Fresh Registration of Micro &amp; Small Enterprises:  </t>
  </si>
  <si>
    <t>3. Address Proof- Aadhar Card / Voter I.D / Driving license/ Passport</t>
  </si>
  <si>
    <t>4. Power of Attorney of the premises where society is to be registered</t>
  </si>
  <si>
    <t> a) Turnover up-to Rs. 100 lakh  </t>
  </si>
  <si>
    <t>5. Electricity Bill, House tax Receipt, Property Papers*</t>
  </si>
  <si>
    <t>6. Rent Deed &amp;amp; NOC from Landlord on Rs.10/- stamp paper</t>
  </si>
  <si>
    <t>a)    Turnover up-to Rs. 100 lakh </t>
  </si>
  <si>
    <t>Required Document For State National Registration:- 20000+18%GST=23600/-</t>
  </si>
  <si>
    <t>1.  Name 4-5 of the proposed society</t>
  </si>
  <si>
    <t>1)    For Micro Enterprises : Rs.3000-</t>
  </si>
  <si>
    <t>2.  Minimum 8 Persons ………. Different states</t>
  </si>
  <si>
    <t>2)    For Small Enterprises : Rs. 5000 </t>
  </si>
  <si>
    <t>* President…………………1…Delhi...</t>
  </si>
  <si>
    <t>Vice President ……………2…….……………….</t>
  </si>
  <si>
    <t>b) Turnover exceeding Rs. 100 lakh  </t>
  </si>
  <si>
    <t>* Secretary…………………3…Delhi....</t>
  </si>
  <si>
    <t>b)    Turnover exceeding Rs. 100 lakh</t>
  </si>
  <si>
    <t>Joint Secretary……………4……………….….….</t>
  </si>
  <si>
    <t>1)    For Micro Enterprises:</t>
  </si>
  <si>
    <t>*Treasurer………………….5…Delhi....</t>
  </si>
  <si>
    <t>Executive Member………..6……………………..</t>
  </si>
  <si>
    <t>Rs. 3000/- plus Rs. 1500/- for every additional turnover of  Rs. 100 Lakh</t>
  </si>
  <si>
    <t>Executive Member………..7……………………..</t>
  </si>
  <si>
    <t>2)    For Small Enterprises :</t>
  </si>
  <si>
    <t>Executive Member…………8……………………..</t>
  </si>
  <si>
    <t>Executive Member…………9……………………..</t>
  </si>
  <si>
    <t>Rs. 5000/- plus Rs. 2000/- for every additional turnover of  Rs. 100 Lakhs </t>
  </si>
  <si>
    <t>Executive Member………..10……………………..</t>
  </si>
  <si>
    <t>I'm</t>
  </si>
  <si>
    <t>3.  Name, Address, Age, Occupation, Father’s Name</t>
  </si>
  <si>
    <t>With cap of Rs. 1 lac for all categories.  </t>
  </si>
  <si>
    <t>4.  Address Proof- Aadhar Card / Voter I.D / Driving license/ Passport.</t>
  </si>
  <si>
    <t>1.NSIC Limited fee.....</t>
  </si>
  <si>
    <t>5.  Property Papers of the premises where society is to be registered.</t>
  </si>
  <si>
    <t>6.  Electricity Bill / House tax Receipt / Water Bill photocopy</t>
  </si>
  <si>
    <t>2 .inspection (govt.fee)</t>
  </si>
  <si>
    <t>7.  NOC from Landlord on Rs.10/- stamp paper</t>
  </si>
  <si>
    <t>Inspection Official Fee</t>
  </si>
  <si>
    <t>8.  For All India Level-3 members from Delhi &amp; 7 from different states</t>
  </si>
  <si>
    <t>8000  For small units</t>
  </si>
  <si>
    <t>7000 for Micro Units</t>
  </si>
  <si>
    <t>3.our Consultancy </t>
  </si>
  <si>
    <t>15000+govt  fee.as per actual.</t>
  </si>
  <si>
    <t>PAYMENT TERMS. </t>
  </si>
  <si>
    <t>HALF PAYMENT ON START WORK</t>
  </si>
  <si>
    <t>&amp; </t>
  </si>
  <si>
    <t>HALF PAYMENT ON DELIVERED CERTIFICATE .</t>
  </si>
  <si>
    <t>We are providing services on various matters like Company Formation/ Registration,NSIC Registration,MSME,ISO,BIS, ISI,CPWD Certification, Trade Mark (TM), Consultancy upon Trademarks, FSSAI,Copy Rights, Legal Matters Consultancy.</t>
  </si>
  <si>
    <t>Website (Inc Domain &amp; Hosting)</t>
  </si>
  <si>
    <t xml:space="preserve">Basic SEO, </t>
  </si>
  <si>
    <t>5 Pages</t>
  </si>
  <si>
    <t>Social Media Pages(Insta + Fb + Linkedin)</t>
  </si>
  <si>
    <t>Cover Photo &amp; 10 Posts</t>
  </si>
  <si>
    <t>Google Business + Just Dial</t>
  </si>
  <si>
    <t>Graphic Package(Soft Copy Editable)</t>
  </si>
  <si>
    <t>Letterhead</t>
  </si>
  <si>
    <t>Banner</t>
  </si>
  <si>
    <t>Visiting Card</t>
  </si>
  <si>
    <t>Social Media Post Template(10)</t>
  </si>
  <si>
    <t>Combo Package(All Above)</t>
  </si>
</sst>
</file>

<file path=xl/styles.xml><?xml version="1.0" encoding="utf-8"?>
<styleSheet xmlns="http://schemas.openxmlformats.org/spreadsheetml/2006/main" xmlns:mc="http://schemas.openxmlformats.org/markup-compatibility/2006" xmlns:x14ac="http://schemas.microsoft.com/office/spreadsheetml/2009/9/ac" mc:Ignorable="x14ac">
  <fonts count="64">
    <font>
      <sz val="11"/>
      <color theme="1"/>
      <name val="Calibri"/>
      <scheme val="minor"/>
    </font>
    <font>
      <b/>
      <sz val="14"/>
      <color rgb="FF000000"/>
      <name val="Calibri"/>
    </font>
    <font>
      <b/>
      <sz val="14"/>
      <color theme="1"/>
      <name val="Calibri"/>
    </font>
    <font>
      <sz val="14"/>
      <color theme="1"/>
      <name val="Calibri"/>
    </font>
    <font>
      <sz val="11"/>
      <color theme="1"/>
      <name val="Calibri"/>
      <scheme val="minor"/>
    </font>
    <font>
      <u/>
      <sz val="14"/>
      <color theme="1"/>
      <name val="Calibri"/>
    </font>
    <font>
      <u/>
      <sz val="14"/>
      <color rgb="FF0000FF"/>
      <name val="Calibri"/>
    </font>
    <font>
      <sz val="11"/>
      <color theme="1"/>
      <name val="Calibri"/>
    </font>
    <font>
      <u/>
      <sz val="11"/>
      <color rgb="FF0000FF"/>
      <name val="Calibri"/>
    </font>
    <font>
      <u/>
      <sz val="14"/>
      <color theme="1"/>
      <name val="Calibri"/>
    </font>
    <font>
      <sz val="14"/>
      <color rgb="FF000000"/>
      <name val="Calibri"/>
    </font>
    <font>
      <u/>
      <sz val="14"/>
      <color theme="1"/>
      <name val="Calibri"/>
    </font>
    <font>
      <u/>
      <sz val="14"/>
      <color rgb="FF0000FF"/>
      <name val="Calibri"/>
    </font>
    <font>
      <u/>
      <sz val="14"/>
      <color rgb="FF0000FF"/>
      <name val="Calibri"/>
    </font>
    <font>
      <sz val="16"/>
      <color theme="1"/>
      <name val="Calibri"/>
    </font>
    <font>
      <b/>
      <sz val="11"/>
      <color theme="1"/>
      <name val="Arial"/>
    </font>
    <font>
      <sz val="11"/>
      <color rgb="FF212529"/>
      <name val="Lato"/>
    </font>
    <font>
      <sz val="11"/>
      <color theme="1"/>
      <name val="Arial"/>
    </font>
    <font>
      <sz val="11"/>
      <color rgb="FF000000"/>
      <name val="Lato"/>
    </font>
    <font>
      <b/>
      <sz val="11"/>
      <color theme="1"/>
      <name val="Calibri"/>
    </font>
    <font>
      <b/>
      <sz val="12"/>
      <color rgb="FF202124"/>
      <name val="Arial"/>
    </font>
    <font>
      <b/>
      <sz val="14"/>
      <color theme="1"/>
      <name val="Arial"/>
    </font>
    <font>
      <sz val="14"/>
      <color theme="1"/>
      <name val="Arial"/>
    </font>
    <font>
      <sz val="17"/>
      <color theme="1"/>
      <name val="Calibri"/>
      <scheme val="minor"/>
    </font>
    <font>
      <sz val="11"/>
      <color rgb="FF064ED7"/>
      <name val="Arial"/>
    </font>
    <font>
      <u/>
      <sz val="14"/>
      <color theme="1"/>
      <name val="Calibri"/>
    </font>
    <font>
      <u/>
      <sz val="14"/>
      <color rgb="FF0000FF"/>
      <name val="Calibri"/>
    </font>
    <font>
      <b/>
      <sz val="14"/>
      <color rgb="FF000000"/>
      <name val="Serifabt-light"/>
    </font>
    <font>
      <b/>
      <sz val="14"/>
      <color rgb="FF000000"/>
      <name val="Arial"/>
    </font>
    <font>
      <sz val="14"/>
      <color rgb="FF000000"/>
      <name val="Serifabt-light"/>
    </font>
    <font>
      <sz val="11"/>
      <name val="Calibri"/>
    </font>
    <font>
      <sz val="14"/>
      <color rgb="FF000000"/>
      <name val="Arial"/>
    </font>
    <font>
      <b/>
      <sz val="11"/>
      <color theme="1"/>
      <name val="Calibri"/>
      <scheme val="minor"/>
    </font>
    <font>
      <sz val="12"/>
      <color theme="1"/>
      <name val="Arial"/>
    </font>
    <font>
      <b/>
      <sz val="12"/>
      <color theme="1"/>
      <name val="Arial"/>
    </font>
    <font>
      <sz val="12"/>
      <color theme="1"/>
      <name val="Calibri"/>
    </font>
    <font>
      <sz val="12"/>
      <color rgb="FF000000"/>
      <name val="Calibri"/>
    </font>
    <font>
      <u/>
      <sz val="12"/>
      <color rgb="FF0000FF"/>
      <name val="Arial"/>
    </font>
    <font>
      <u/>
      <sz val="12"/>
      <color rgb="FF0000FF"/>
      <name val="Calibri"/>
    </font>
    <font>
      <sz val="12"/>
      <color rgb="FF000000"/>
      <name val="Arial"/>
    </font>
    <font>
      <u/>
      <sz val="12"/>
      <color rgb="FF0000FF"/>
      <name val="Arial"/>
    </font>
    <font>
      <u/>
      <sz val="12"/>
      <color rgb="FF0000FF"/>
      <name val="Calibri"/>
    </font>
    <font>
      <b/>
      <i/>
      <sz val="14"/>
      <color theme="1"/>
      <name val="Arial"/>
    </font>
    <font>
      <i/>
      <sz val="14"/>
      <color theme="1"/>
      <name val="Arial"/>
    </font>
    <font>
      <b/>
      <sz val="11"/>
      <color rgb="FF000000"/>
      <name val="Verdana"/>
    </font>
    <font>
      <sz val="11"/>
      <color rgb="FF000000"/>
      <name val="Verdana"/>
    </font>
    <font>
      <b/>
      <sz val="14"/>
      <color rgb="FF222222"/>
      <name val="Arial"/>
    </font>
    <font>
      <b/>
      <sz val="12"/>
      <color rgb="FF222222"/>
      <name val="Open Sans"/>
    </font>
    <font>
      <sz val="12"/>
      <color rgb="FF222222"/>
      <name val="Open Sans"/>
    </font>
    <font>
      <sz val="13"/>
      <color rgb="FF191919"/>
      <name val="Roboto"/>
    </font>
    <font>
      <b/>
      <sz val="11"/>
      <color rgb="FF212529"/>
      <name val="Roboto"/>
    </font>
    <font>
      <sz val="12"/>
      <color rgb="FF212529"/>
      <name val="Arial"/>
    </font>
    <font>
      <u/>
      <sz val="12"/>
      <color rgb="FF212529"/>
      <name val="Roboto"/>
    </font>
    <font>
      <sz val="12"/>
      <color rgb="FF212529"/>
      <name val="Roboto"/>
    </font>
    <font>
      <sz val="11"/>
      <color rgb="FF212529"/>
      <name val="Arial"/>
    </font>
    <font>
      <sz val="23"/>
      <color rgb="FF3D4459"/>
      <name val="Roboto"/>
    </font>
    <font>
      <sz val="15"/>
      <color rgb="FF333333"/>
      <name val="Inherit"/>
    </font>
    <font>
      <b/>
      <u/>
      <sz val="11"/>
      <color rgb="FF134F5C"/>
      <name val="Verdana"/>
    </font>
    <font>
      <b/>
      <u/>
      <sz val="11"/>
      <color rgb="FF134F5C"/>
      <name val="Verdana"/>
    </font>
    <font>
      <u/>
      <sz val="11"/>
      <color rgb="FF134F5C"/>
      <name val="Verdana"/>
    </font>
    <font>
      <b/>
      <sz val="11"/>
      <color rgb="FF000000"/>
      <name val="Calibri"/>
    </font>
    <font>
      <sz val="12"/>
      <name val="Arial"/>
    </font>
    <font>
      <u/>
      <sz val="12"/>
      <color rgb="FF1155CC"/>
      <name val="Arial"/>
    </font>
    <font>
      <u/>
      <sz val="12"/>
      <color rgb="FF212529"/>
      <name val="Arial"/>
    </font>
  </fonts>
  <fills count="19">
    <fill>
      <patternFill patternType="none"/>
    </fill>
    <fill>
      <patternFill patternType="gray125"/>
    </fill>
    <fill>
      <patternFill patternType="solid">
        <fgColor rgb="FF9CC2E5"/>
        <bgColor rgb="FF9CC2E5"/>
      </patternFill>
    </fill>
    <fill>
      <patternFill patternType="solid">
        <fgColor rgb="FF1155CC"/>
        <bgColor rgb="FF1155CC"/>
      </patternFill>
    </fill>
    <fill>
      <patternFill patternType="solid">
        <fgColor theme="0"/>
        <bgColor theme="0"/>
      </patternFill>
    </fill>
    <fill>
      <patternFill patternType="solid">
        <fgColor rgb="FFFF9900"/>
        <bgColor rgb="FFFF9900"/>
      </patternFill>
    </fill>
    <fill>
      <patternFill patternType="solid">
        <fgColor rgb="FFBFBFBF"/>
        <bgColor rgb="FFBFBFBF"/>
      </patternFill>
    </fill>
    <fill>
      <patternFill patternType="solid">
        <fgColor rgb="FFFFFF00"/>
        <bgColor rgb="FFFFFF00"/>
      </patternFill>
    </fill>
    <fill>
      <patternFill patternType="solid">
        <fgColor rgb="FF6AA84F"/>
        <bgColor rgb="FF6AA84F"/>
      </patternFill>
    </fill>
    <fill>
      <patternFill patternType="solid">
        <fgColor rgb="FFFFFFFF"/>
        <bgColor rgb="FFFFFFFF"/>
      </patternFill>
    </fill>
    <fill>
      <patternFill patternType="solid">
        <fgColor rgb="FFFF0000"/>
        <bgColor rgb="FFFF0000"/>
      </patternFill>
    </fill>
    <fill>
      <patternFill patternType="solid">
        <fgColor rgb="FFC00000"/>
        <bgColor rgb="FFC00000"/>
      </patternFill>
    </fill>
    <fill>
      <patternFill patternType="solid">
        <fgColor rgb="FF980000"/>
        <bgColor rgb="FF980000"/>
      </patternFill>
    </fill>
    <fill>
      <patternFill patternType="solid">
        <fgColor rgb="FFE7F9EF"/>
        <bgColor rgb="FFE7F9EF"/>
      </patternFill>
    </fill>
    <fill>
      <patternFill patternType="solid">
        <fgColor theme="9"/>
        <bgColor theme="9"/>
      </patternFill>
    </fill>
    <fill>
      <patternFill patternType="solid">
        <fgColor rgb="FFE0EBFB"/>
        <bgColor rgb="FFE0EBFB"/>
      </patternFill>
    </fill>
    <fill>
      <patternFill patternType="solid">
        <fgColor rgb="FFF5F9F8"/>
        <bgColor rgb="FFF5F9F8"/>
      </patternFill>
    </fill>
    <fill>
      <patternFill patternType="solid">
        <fgColor rgb="FF92D050"/>
        <bgColor rgb="FF92D050"/>
      </patternFill>
    </fill>
    <fill>
      <patternFill patternType="solid">
        <fgColor rgb="FF00FF00"/>
        <bgColor rgb="FF00FF00"/>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DDDDDD"/>
      </top>
      <bottom style="thin">
        <color rgb="FF000000"/>
      </bottom>
      <diagonal/>
    </border>
    <border>
      <left style="thin">
        <color rgb="FF000000"/>
      </left>
      <right style="thin">
        <color rgb="FF000000"/>
      </right>
      <top style="medium">
        <color rgb="FFDDDDDD"/>
      </top>
      <bottom/>
      <diagonal/>
    </border>
    <border>
      <left style="thin">
        <color rgb="FF000000"/>
      </left>
      <right style="thin">
        <color rgb="FF000000"/>
      </right>
      <top style="medium">
        <color rgb="FFDDDDDD"/>
      </top>
      <bottom/>
      <diagonal/>
    </border>
    <border>
      <left style="thin">
        <color rgb="FF000000"/>
      </left>
      <right style="thin">
        <color rgb="FF000000"/>
      </right>
      <top/>
      <bottom style="medium">
        <color rgb="FFDDDDDD"/>
      </bottom>
      <diagonal/>
    </border>
    <border>
      <left style="thin">
        <color rgb="FF000000"/>
      </left>
      <right style="thin">
        <color rgb="FF000000"/>
      </right>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8F9FA"/>
      </left>
      <right style="thin">
        <color rgb="FFF8F9FA"/>
      </right>
      <top style="thin">
        <color rgb="FFF8F9FA"/>
      </top>
      <bottom style="thin">
        <color rgb="FFF8F9FA"/>
      </bottom>
      <diagonal/>
    </border>
    <border>
      <left style="thin">
        <color rgb="FF284E3F"/>
      </left>
      <right style="thin">
        <color rgb="FFF8F9FA"/>
      </right>
      <top style="thin">
        <color rgb="FFF8F9FA"/>
      </top>
      <bottom style="thin">
        <color rgb="FF284E3F"/>
      </bottom>
      <diagonal/>
    </border>
    <border>
      <left style="thin">
        <color rgb="FFF8F9FA"/>
      </left>
      <right style="thin">
        <color rgb="FFF8F9FA"/>
      </right>
      <top style="thin">
        <color rgb="FFF8F9FA"/>
      </top>
      <bottom style="thin">
        <color rgb="FF284E3F"/>
      </bottom>
      <diagonal/>
    </border>
  </borders>
  <cellStyleXfs count="1">
    <xf numFmtId="0" fontId="0" fillId="0" borderId="0"/>
  </cellStyleXfs>
  <cellXfs count="230">
    <xf numFmtId="0" fontId="0" fillId="0" borderId="0" xfId="0" applyFont="1" applyAlignment="1"/>
    <xf numFmtId="0" fontId="1"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center"/>
    </xf>
    <xf numFmtId="0" fontId="2" fillId="2" borderId="2" xfId="0" applyFont="1" applyFill="1" applyBorder="1"/>
    <xf numFmtId="0" fontId="2" fillId="2" borderId="1" xfId="0" applyFont="1" applyFill="1" applyBorder="1" applyAlignment="1"/>
    <xf numFmtId="0" fontId="2" fillId="2" borderId="3" xfId="0" applyFont="1" applyFill="1" applyBorder="1"/>
    <xf numFmtId="0" fontId="3" fillId="3" borderId="1" xfId="0" applyFont="1" applyFill="1" applyBorder="1" applyAlignment="1">
      <alignment horizontal="center"/>
    </xf>
    <xf numFmtId="0" fontId="2" fillId="3" borderId="1" xfId="0" applyFont="1" applyFill="1" applyBorder="1" applyAlignment="1"/>
    <xf numFmtId="0" fontId="2" fillId="3" borderId="1" xfId="0" applyFont="1" applyFill="1" applyBorder="1"/>
    <xf numFmtId="0" fontId="3" fillId="3" borderId="1" xfId="0" applyFont="1" applyFill="1" applyBorder="1"/>
    <xf numFmtId="0" fontId="3" fillId="3" borderId="2" xfId="0" applyFont="1" applyFill="1" applyBorder="1"/>
    <xf numFmtId="0" fontId="3" fillId="3" borderId="3" xfId="0" applyFont="1" applyFill="1" applyBorder="1"/>
    <xf numFmtId="0" fontId="4" fillId="3" borderId="0" xfId="0" applyFont="1" applyFill="1"/>
    <xf numFmtId="0" fontId="3" fillId="0" borderId="1" xfId="0" applyFont="1" applyBorder="1" applyAlignment="1">
      <alignment horizontal="center"/>
    </xf>
    <xf numFmtId="0" fontId="3" fillId="0" borderId="1" xfId="0" applyFont="1" applyBorder="1"/>
    <xf numFmtId="0" fontId="3" fillId="0" borderId="1" xfId="0" applyFont="1" applyBorder="1" applyAlignment="1"/>
    <xf numFmtId="0" fontId="5" fillId="0" borderId="1" xfId="0" applyFont="1" applyBorder="1" applyAlignment="1"/>
    <xf numFmtId="0" fontId="3" fillId="0" borderId="4" xfId="0" applyFont="1" applyBorder="1" applyAlignment="1"/>
    <xf numFmtId="0" fontId="3" fillId="0" borderId="0" xfId="0" applyFont="1"/>
    <xf numFmtId="0" fontId="6" fillId="0" borderId="1" xfId="0" applyFont="1" applyBorder="1" applyAlignment="1"/>
    <xf numFmtId="0" fontId="3" fillId="0" borderId="4" xfId="0" applyFont="1" applyBorder="1"/>
    <xf numFmtId="0" fontId="7" fillId="0" borderId="0" xfId="0" applyFont="1"/>
    <xf numFmtId="0" fontId="4" fillId="0" borderId="0" xfId="0" applyFont="1" applyAlignment="1"/>
    <xf numFmtId="0" fontId="8" fillId="0" borderId="0" xfId="0" applyFont="1" applyAlignment="1"/>
    <xf numFmtId="0" fontId="3" fillId="4" borderId="1" xfId="0" applyFont="1" applyFill="1" applyBorder="1" applyAlignment="1">
      <alignment horizontal="center"/>
    </xf>
    <xf numFmtId="0" fontId="3" fillId="4" borderId="1" xfId="0" applyFont="1" applyFill="1" applyBorder="1"/>
    <xf numFmtId="0" fontId="3" fillId="4" borderId="1" xfId="0" applyFont="1" applyFill="1" applyBorder="1" applyAlignment="1"/>
    <xf numFmtId="0" fontId="3" fillId="4" borderId="1" xfId="0" applyFont="1" applyFill="1" applyBorder="1" applyAlignment="1">
      <alignment horizontal="center"/>
    </xf>
    <xf numFmtId="0" fontId="3" fillId="4" borderId="2" xfId="0" applyFont="1" applyFill="1" applyBorder="1"/>
    <xf numFmtId="0" fontId="3" fillId="4" borderId="3" xfId="0" applyFont="1" applyFill="1" applyBorder="1"/>
    <xf numFmtId="0" fontId="9" fillId="4" borderId="1" xfId="0" applyFont="1" applyFill="1" applyBorder="1" applyAlignment="1"/>
    <xf numFmtId="0" fontId="3" fillId="0" borderId="1" xfId="0" applyFont="1" applyBorder="1" applyAlignment="1">
      <alignment horizontal="center"/>
    </xf>
    <xf numFmtId="0" fontId="10" fillId="2" borderId="3" xfId="0" applyFont="1" applyFill="1" applyBorder="1" applyAlignment="1">
      <alignment horizontal="center"/>
    </xf>
    <xf numFmtId="0" fontId="7" fillId="0" borderId="1" xfId="0" applyFont="1" applyBorder="1"/>
    <xf numFmtId="0" fontId="7" fillId="0" borderId="0" xfId="0" applyFont="1"/>
    <xf numFmtId="0" fontId="3" fillId="5" borderId="1" xfId="0" applyFont="1" applyFill="1" applyBorder="1"/>
    <xf numFmtId="0" fontId="3" fillId="0" borderId="0" xfId="0" applyFont="1" applyAlignment="1"/>
    <xf numFmtId="0" fontId="11" fillId="0" borderId="0" xfId="0" applyFont="1" applyAlignment="1"/>
    <xf numFmtId="0" fontId="3" fillId="5" borderId="0" xfId="0" applyFont="1" applyFill="1"/>
    <xf numFmtId="0" fontId="7" fillId="3" borderId="3" xfId="0" applyFont="1" applyFill="1" applyBorder="1"/>
    <xf numFmtId="0" fontId="3" fillId="0" borderId="1" xfId="0" applyFont="1" applyBorder="1" applyAlignment="1"/>
    <xf numFmtId="0" fontId="12" fillId="0" borderId="1" xfId="0" applyFont="1" applyBorder="1" applyAlignment="1"/>
    <xf numFmtId="0" fontId="13" fillId="4" borderId="1" xfId="0" applyFont="1" applyFill="1" applyBorder="1" applyAlignment="1"/>
    <xf numFmtId="0" fontId="3" fillId="6" borderId="1" xfId="0" applyFont="1" applyFill="1" applyBorder="1" applyAlignment="1">
      <alignment horizontal="center"/>
    </xf>
    <xf numFmtId="0" fontId="2" fillId="7" borderId="1" xfId="0" applyFont="1" applyFill="1" applyBorder="1"/>
    <xf numFmtId="0" fontId="3" fillId="6" borderId="1" xfId="0" applyFont="1" applyFill="1" applyBorder="1"/>
    <xf numFmtId="0" fontId="3" fillId="6" borderId="2" xfId="0" applyFont="1" applyFill="1" applyBorder="1"/>
    <xf numFmtId="0" fontId="3" fillId="6" borderId="3" xfId="0" applyFont="1" applyFill="1" applyBorder="1"/>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3" fillId="7" borderId="3" xfId="0" applyFont="1" applyFill="1" applyBorder="1"/>
    <xf numFmtId="0" fontId="7" fillId="7" borderId="3" xfId="0" applyFont="1" applyFill="1" applyBorder="1"/>
    <xf numFmtId="0" fontId="14" fillId="0" borderId="0" xfId="0" applyFont="1" applyAlignment="1">
      <alignment horizontal="left" wrapText="1"/>
    </xf>
    <xf numFmtId="0" fontId="3" fillId="0" borderId="0" xfId="0" applyFont="1" applyAlignment="1">
      <alignment horizontal="center"/>
    </xf>
    <xf numFmtId="0" fontId="10" fillId="0" borderId="1" xfId="0" applyFont="1" applyBorder="1" applyAlignment="1">
      <alignment horizontal="center"/>
    </xf>
    <xf numFmtId="0" fontId="3" fillId="0" borderId="0" xfId="0" applyFont="1" applyAlignment="1">
      <alignment horizontal="center"/>
    </xf>
    <xf numFmtId="0" fontId="3" fillId="0" borderId="0" xfId="0" applyFont="1"/>
    <xf numFmtId="0" fontId="15" fillId="0" borderId="0" xfId="0" applyFont="1" applyAlignment="1">
      <alignment horizontal="left"/>
    </xf>
    <xf numFmtId="0" fontId="15" fillId="0" borderId="0" xfId="0" applyFont="1" applyAlignment="1">
      <alignment horizontal="center"/>
    </xf>
    <xf numFmtId="0" fontId="15" fillId="0" borderId="0" xfId="0" applyFont="1" applyAlignment="1">
      <alignment horizontal="center"/>
    </xf>
    <xf numFmtId="0" fontId="15" fillId="8" borderId="3" xfId="0" applyFont="1" applyFill="1" applyBorder="1" applyAlignment="1">
      <alignment horizontal="center"/>
    </xf>
    <xf numFmtId="0" fontId="7" fillId="0" borderId="0" xfId="0" applyFont="1" applyAlignment="1">
      <alignment horizontal="left"/>
    </xf>
    <xf numFmtId="0" fontId="16" fillId="0" borderId="0" xfId="0" applyFont="1" applyAlignment="1">
      <alignment horizontal="left"/>
    </xf>
    <xf numFmtId="0" fontId="17" fillId="0" borderId="0" xfId="0" applyFont="1" applyAlignment="1">
      <alignment horizontal="left"/>
    </xf>
    <xf numFmtId="0" fontId="17" fillId="0" borderId="0" xfId="0" applyFont="1"/>
    <xf numFmtId="0" fontId="17" fillId="0" borderId="0" xfId="0" applyFont="1" applyAlignment="1">
      <alignment horizontal="left"/>
    </xf>
    <xf numFmtId="0" fontId="17" fillId="8" borderId="3" xfId="0" applyFont="1" applyFill="1" applyBorder="1" applyAlignment="1">
      <alignment horizontal="left"/>
    </xf>
    <xf numFmtId="0" fontId="17" fillId="7" borderId="3" xfId="0" applyFont="1" applyFill="1" applyBorder="1" applyAlignment="1">
      <alignment horizontal="left"/>
    </xf>
    <xf numFmtId="0" fontId="18" fillId="7" borderId="3" xfId="0" applyFont="1" applyFill="1" applyBorder="1" applyAlignment="1">
      <alignment horizontal="left"/>
    </xf>
    <xf numFmtId="0" fontId="16" fillId="7" borderId="3" xfId="0" applyFont="1" applyFill="1" applyBorder="1" applyAlignment="1">
      <alignment horizontal="left"/>
    </xf>
    <xf numFmtId="0" fontId="7" fillId="7" borderId="3" xfId="0" applyFont="1" applyFill="1" applyBorder="1" applyAlignment="1">
      <alignment horizontal="left"/>
    </xf>
    <xf numFmtId="0" fontId="16" fillId="9" borderId="3" xfId="0" applyFont="1" applyFill="1" applyBorder="1" applyAlignment="1">
      <alignment horizontal="left"/>
    </xf>
    <xf numFmtId="0" fontId="7" fillId="10" borderId="0" xfId="0" applyFont="1" applyFill="1" applyAlignment="1">
      <alignment horizontal="left"/>
    </xf>
    <xf numFmtId="0" fontId="16" fillId="10" borderId="0" xfId="0" applyFont="1" applyFill="1" applyAlignment="1">
      <alignment horizontal="left"/>
    </xf>
    <xf numFmtId="0" fontId="17" fillId="10" borderId="0" xfId="0" applyFont="1" applyFill="1" applyAlignment="1">
      <alignment horizontal="left"/>
    </xf>
    <xf numFmtId="0" fontId="17" fillId="10" borderId="0" xfId="0" applyFont="1" applyFill="1" applyAlignment="1">
      <alignment horizontal="left"/>
    </xf>
    <xf numFmtId="0" fontId="17" fillId="11" borderId="3" xfId="0" applyFont="1" applyFill="1" applyBorder="1" applyAlignment="1">
      <alignment horizontal="left"/>
    </xf>
    <xf numFmtId="0" fontId="16" fillId="11" borderId="3" xfId="0" applyFont="1" applyFill="1" applyBorder="1" applyAlignment="1">
      <alignment horizontal="left"/>
    </xf>
    <xf numFmtId="0" fontId="17" fillId="11" borderId="3" xfId="0" applyFont="1" applyFill="1" applyBorder="1" applyAlignment="1">
      <alignment horizontal="left"/>
    </xf>
    <xf numFmtId="0" fontId="7" fillId="11" borderId="3" xfId="0" applyFont="1" applyFill="1" applyBorder="1" applyAlignment="1">
      <alignment horizontal="left"/>
    </xf>
    <xf numFmtId="0" fontId="17" fillId="7" borderId="3" xfId="0" applyFont="1" applyFill="1" applyBorder="1" applyAlignment="1">
      <alignment horizontal="left"/>
    </xf>
    <xf numFmtId="0" fontId="17" fillId="12" borderId="0" xfId="0" applyFont="1" applyFill="1" applyAlignment="1">
      <alignment horizontal="left"/>
    </xf>
    <xf numFmtId="0" fontId="16" fillId="12" borderId="0" xfId="0" applyFont="1" applyFill="1" applyAlignment="1">
      <alignment horizontal="left"/>
    </xf>
    <xf numFmtId="0" fontId="17" fillId="12" borderId="0" xfId="0" applyFont="1" applyFill="1" applyAlignment="1">
      <alignment horizontal="left"/>
    </xf>
    <xf numFmtId="0" fontId="17" fillId="12" borderId="3" xfId="0" applyFont="1" applyFill="1" applyBorder="1" applyAlignment="1">
      <alignment horizontal="left"/>
    </xf>
    <xf numFmtId="0" fontId="7" fillId="12" borderId="0" xfId="0" applyFont="1" applyFill="1" applyAlignment="1">
      <alignment horizontal="left"/>
    </xf>
    <xf numFmtId="0" fontId="15" fillId="0" borderId="0" xfId="0" applyFont="1" applyAlignment="1">
      <alignment horizontal="left"/>
    </xf>
    <xf numFmtId="0" fontId="19" fillId="0" borderId="0" xfId="0" applyFont="1" applyAlignment="1">
      <alignment horizontal="left"/>
    </xf>
    <xf numFmtId="0" fontId="17" fillId="10" borderId="3" xfId="0" applyFont="1" applyFill="1" applyBorder="1" applyAlignment="1">
      <alignment horizontal="left"/>
    </xf>
    <xf numFmtId="0" fontId="16" fillId="10" borderId="3" xfId="0" applyFont="1" applyFill="1" applyBorder="1" applyAlignment="1">
      <alignment horizontal="left"/>
    </xf>
    <xf numFmtId="0" fontId="16" fillId="10" borderId="3" xfId="0" applyFont="1" applyFill="1" applyBorder="1" applyAlignment="1">
      <alignment horizontal="left"/>
    </xf>
    <xf numFmtId="0" fontId="7" fillId="10" borderId="3" xfId="0" applyFont="1" applyFill="1" applyBorder="1" applyAlignment="1">
      <alignment horizontal="left"/>
    </xf>
    <xf numFmtId="0" fontId="16" fillId="7" borderId="3" xfId="0" applyFont="1" applyFill="1" applyBorder="1" applyAlignment="1">
      <alignment horizontal="left"/>
    </xf>
    <xf numFmtId="0" fontId="20" fillId="9" borderId="3" xfId="0" applyFont="1" applyFill="1" applyBorder="1" applyAlignment="1">
      <alignment horizontal="left"/>
    </xf>
    <xf numFmtId="0" fontId="2" fillId="2" borderId="0" xfId="0" applyFont="1" applyFill="1"/>
    <xf numFmtId="0" fontId="2" fillId="2" borderId="1" xfId="0" applyFont="1" applyFill="1" applyBorder="1"/>
    <xf numFmtId="0" fontId="2" fillId="2" borderId="1" xfId="0" applyFont="1" applyFill="1" applyBorder="1" applyAlignment="1">
      <alignment horizontal="center"/>
    </xf>
    <xf numFmtId="0" fontId="21" fillId="2" borderId="1" xfId="0" applyFont="1" applyFill="1" applyBorder="1" applyAlignment="1">
      <alignment horizontal="center"/>
    </xf>
    <xf numFmtId="0" fontId="22" fillId="13" borderId="1" xfId="0" applyFont="1" applyFill="1" applyBorder="1"/>
    <xf numFmtId="0" fontId="3" fillId="13" borderId="1" xfId="0" applyFont="1" applyFill="1" applyBorder="1"/>
    <xf numFmtId="0" fontId="3" fillId="13" borderId="1" xfId="0" applyFont="1" applyFill="1" applyBorder="1" applyAlignment="1">
      <alignment horizontal="center"/>
    </xf>
    <xf numFmtId="0" fontId="22" fillId="13" borderId="1" xfId="0" applyFont="1" applyFill="1" applyBorder="1" applyAlignment="1">
      <alignment horizontal="center"/>
    </xf>
    <xf numFmtId="0" fontId="22" fillId="9" borderId="1" xfId="0" applyFont="1" applyFill="1" applyBorder="1"/>
    <xf numFmtId="0" fontId="3" fillId="9" borderId="1" xfId="0" applyFont="1" applyFill="1" applyBorder="1"/>
    <xf numFmtId="0" fontId="3" fillId="9" borderId="1" xfId="0" applyFont="1" applyFill="1" applyBorder="1" applyAlignment="1">
      <alignment horizontal="center"/>
    </xf>
    <xf numFmtId="0" fontId="22" fillId="9" borderId="1" xfId="0" applyFont="1" applyFill="1" applyBorder="1" applyAlignment="1">
      <alignment horizontal="center"/>
    </xf>
    <xf numFmtId="0" fontId="22" fillId="4" borderId="1" xfId="0" applyFont="1" applyFill="1" applyBorder="1"/>
    <xf numFmtId="0" fontId="3" fillId="4" borderId="1" xfId="0" applyFont="1" applyFill="1" applyBorder="1"/>
    <xf numFmtId="0" fontId="3" fillId="4" borderId="1" xfId="0" applyFont="1" applyFill="1" applyBorder="1" applyAlignment="1">
      <alignment horizontal="center"/>
    </xf>
    <xf numFmtId="0" fontId="21" fillId="13" borderId="1" xfId="0" applyFont="1" applyFill="1" applyBorder="1"/>
    <xf numFmtId="0" fontId="22" fillId="4" borderId="1" xfId="0" applyFont="1" applyFill="1" applyBorder="1" applyAlignment="1"/>
    <xf numFmtId="0" fontId="23" fillId="5" borderId="0" xfId="0" applyFont="1" applyFill="1" applyAlignment="1"/>
    <xf numFmtId="0" fontId="23" fillId="5" borderId="0" xfId="0" applyFont="1" applyFill="1"/>
    <xf numFmtId="0" fontId="7" fillId="14" borderId="0" xfId="0" applyFont="1" applyFill="1"/>
    <xf numFmtId="0" fontId="4" fillId="14" borderId="0" xfId="0" applyFont="1" applyFill="1"/>
    <xf numFmtId="0" fontId="24" fillId="9" borderId="0" xfId="0" applyFont="1" applyFill="1" applyAlignment="1">
      <alignment horizontal="left"/>
    </xf>
    <xf numFmtId="0" fontId="4" fillId="14" borderId="0" xfId="0" applyFont="1" applyFill="1" applyAlignment="1"/>
    <xf numFmtId="0" fontId="3" fillId="14" borderId="0" xfId="0" applyFont="1" applyFill="1"/>
    <xf numFmtId="0" fontId="3" fillId="0" borderId="0" xfId="0" applyFont="1" applyAlignment="1"/>
    <xf numFmtId="0" fontId="25" fillId="0" borderId="0" xfId="0" applyFont="1" applyAlignment="1"/>
    <xf numFmtId="0" fontId="26" fillId="0" borderId="0" xfId="0" applyFont="1" applyAlignment="1"/>
    <xf numFmtId="0" fontId="22" fillId="13" borderId="3" xfId="0" applyFont="1" applyFill="1" applyBorder="1" applyAlignment="1"/>
    <xf numFmtId="0" fontId="10" fillId="13" borderId="1" xfId="0" applyFont="1" applyFill="1" applyBorder="1" applyAlignment="1">
      <alignment horizontal="center"/>
    </xf>
    <xf numFmtId="0" fontId="22" fillId="9" borderId="3" xfId="0" applyFont="1" applyFill="1" applyBorder="1"/>
    <xf numFmtId="0" fontId="10" fillId="9" borderId="1" xfId="0" applyFont="1" applyFill="1" applyBorder="1" applyAlignment="1">
      <alignment horizontal="center"/>
    </xf>
    <xf numFmtId="0" fontId="27" fillId="15" borderId="1" xfId="0" applyFont="1" applyFill="1" applyBorder="1" applyAlignment="1">
      <alignment horizontal="left" vertical="top" wrapText="1"/>
    </xf>
    <xf numFmtId="0" fontId="28" fillId="15" borderId="5" xfId="0" applyFont="1" applyFill="1" applyBorder="1" applyAlignment="1">
      <alignment horizontal="left" vertical="top" wrapText="1"/>
    </xf>
    <xf numFmtId="0" fontId="29" fillId="16" borderId="6" xfId="0" applyFont="1" applyFill="1" applyBorder="1" applyAlignment="1">
      <alignment vertical="top" wrapText="1"/>
    </xf>
    <xf numFmtId="0" fontId="29" fillId="10" borderId="6" xfId="0" applyFont="1" applyFill="1" applyBorder="1" applyAlignment="1">
      <alignment vertical="top" wrapText="1"/>
    </xf>
    <xf numFmtId="0" fontId="7" fillId="10" borderId="3" xfId="0" applyFont="1" applyFill="1" applyBorder="1"/>
    <xf numFmtId="0" fontId="29" fillId="16" borderId="8" xfId="0" applyFont="1" applyFill="1" applyBorder="1" applyAlignment="1">
      <alignment vertical="top" wrapText="1"/>
    </xf>
    <xf numFmtId="0" fontId="29" fillId="16" borderId="10" xfId="0" applyFont="1" applyFill="1" applyBorder="1" applyAlignment="1">
      <alignment vertical="top" wrapText="1"/>
    </xf>
    <xf numFmtId="0" fontId="3" fillId="10" borderId="3" xfId="0" applyFont="1" applyFill="1" applyBorder="1" applyAlignment="1"/>
    <xf numFmtId="0" fontId="31" fillId="10" borderId="6" xfId="0" applyFont="1" applyFill="1" applyBorder="1" applyAlignment="1">
      <alignment vertical="top" wrapText="1"/>
    </xf>
    <xf numFmtId="0" fontId="29" fillId="10" borderId="8" xfId="0" applyFont="1" applyFill="1" applyBorder="1" applyAlignment="1">
      <alignment vertical="top" wrapText="1"/>
    </xf>
    <xf numFmtId="0" fontId="29" fillId="16" borderId="5" xfId="0" applyFont="1" applyFill="1" applyBorder="1" applyAlignment="1">
      <alignment vertical="top" wrapText="1"/>
    </xf>
    <xf numFmtId="0" fontId="7" fillId="0" borderId="11" xfId="0" applyFont="1" applyBorder="1" applyAlignment="1">
      <alignment horizontal="left" vertical="center"/>
    </xf>
    <xf numFmtId="0" fontId="3" fillId="0" borderId="12" xfId="0" applyFont="1" applyBorder="1" applyAlignment="1">
      <alignment horizontal="left" vertical="center"/>
    </xf>
    <xf numFmtId="0" fontId="7" fillId="0" borderId="12" xfId="0" applyFont="1" applyBorder="1" applyAlignment="1">
      <alignment horizontal="left" vertical="center"/>
    </xf>
    <xf numFmtId="0" fontId="7" fillId="0" borderId="13" xfId="0" applyFont="1" applyBorder="1" applyAlignment="1">
      <alignment horizontal="left" vertical="center"/>
    </xf>
    <xf numFmtId="0" fontId="7" fillId="17" borderId="3" xfId="0" applyFont="1" applyFill="1" applyBorder="1"/>
    <xf numFmtId="0" fontId="14" fillId="13" borderId="3" xfId="0" applyFont="1" applyFill="1" applyBorder="1" applyAlignment="1">
      <alignment horizontal="left" vertical="center" wrapText="1"/>
    </xf>
    <xf numFmtId="0" fontId="3" fillId="0" borderId="14" xfId="0" applyFont="1" applyBorder="1" applyAlignment="1">
      <alignment vertical="center"/>
    </xf>
    <xf numFmtId="16" fontId="3" fillId="0" borderId="14" xfId="0" applyNumberFormat="1" applyFont="1" applyBorder="1" applyAlignment="1">
      <alignment vertical="center"/>
    </xf>
    <xf numFmtId="0" fontId="3" fillId="0" borderId="14" xfId="0" applyFont="1" applyBorder="1" applyAlignment="1">
      <alignment vertical="center"/>
    </xf>
    <xf numFmtId="0" fontId="3" fillId="13" borderId="1" xfId="0" applyFont="1" applyFill="1" applyBorder="1" applyAlignment="1">
      <alignment vertical="center"/>
    </xf>
    <xf numFmtId="0" fontId="22" fillId="13" borderId="1" xfId="0" applyFont="1" applyFill="1" applyBorder="1" applyAlignment="1">
      <alignment horizontal="center" vertical="center"/>
    </xf>
    <xf numFmtId="0" fontId="14" fillId="9" borderId="3" xfId="0" applyFont="1" applyFill="1" applyBorder="1" applyAlignment="1">
      <alignment horizontal="left" vertical="center" wrapText="1"/>
    </xf>
    <xf numFmtId="0" fontId="3" fillId="0" borderId="15" xfId="0" applyFont="1" applyBorder="1" applyAlignment="1">
      <alignment vertical="center"/>
    </xf>
    <xf numFmtId="0" fontId="3" fillId="9" borderId="1" xfId="0" applyFont="1" applyFill="1" applyBorder="1" applyAlignment="1">
      <alignment vertical="center"/>
    </xf>
    <xf numFmtId="0" fontId="22" fillId="9" borderId="1" xfId="0" applyFont="1" applyFill="1" applyBorder="1" applyAlignment="1">
      <alignment horizontal="center" vertical="center"/>
    </xf>
    <xf numFmtId="0" fontId="4" fillId="0" borderId="14" xfId="0" applyFont="1" applyBorder="1" applyAlignment="1">
      <alignment vertical="center"/>
    </xf>
    <xf numFmtId="0" fontId="4" fillId="0" borderId="15" xfId="0" applyFont="1" applyBorder="1" applyAlignment="1">
      <alignment vertical="center"/>
    </xf>
    <xf numFmtId="0" fontId="4" fillId="0" borderId="15" xfId="0" applyFont="1" applyBorder="1" applyAlignment="1">
      <alignment vertical="center"/>
    </xf>
    <xf numFmtId="0" fontId="4" fillId="0" borderId="14" xfId="0" applyFont="1" applyBorder="1" applyAlignment="1">
      <alignment vertical="center"/>
    </xf>
    <xf numFmtId="0" fontId="3" fillId="0" borderId="15" xfId="0" applyFont="1" applyBorder="1" applyAlignment="1">
      <alignment vertical="center"/>
    </xf>
    <xf numFmtId="17" fontId="3" fillId="0" borderId="14" xfId="0" applyNumberFormat="1" applyFont="1" applyBorder="1" applyAlignment="1">
      <alignment vertical="center"/>
    </xf>
    <xf numFmtId="0" fontId="22" fillId="13" borderId="3" xfId="0" applyFont="1" applyFill="1" applyBorder="1" applyAlignment="1">
      <alignment vertical="center"/>
    </xf>
    <xf numFmtId="0" fontId="22" fillId="9" borderId="3" xfId="0" applyFont="1" applyFill="1" applyBorder="1" applyAlignment="1">
      <alignment vertical="center"/>
    </xf>
    <xf numFmtId="0" fontId="4" fillId="0" borderId="16" xfId="0" applyFont="1" applyBorder="1" applyAlignment="1">
      <alignment vertical="center"/>
    </xf>
    <xf numFmtId="0" fontId="4" fillId="0" borderId="17" xfId="0" applyFont="1" applyBorder="1" applyAlignment="1">
      <alignment vertical="center"/>
    </xf>
    <xf numFmtId="0" fontId="4" fillId="0" borderId="17" xfId="0" applyFont="1" applyBorder="1" applyAlignment="1">
      <alignment vertical="center"/>
    </xf>
    <xf numFmtId="0" fontId="32" fillId="0" borderId="0" xfId="0" applyFont="1" applyAlignment="1"/>
    <xf numFmtId="0" fontId="33" fillId="6" borderId="1" xfId="0" applyFont="1" applyFill="1" applyBorder="1" applyAlignment="1">
      <alignment horizontal="center"/>
    </xf>
    <xf numFmtId="0" fontId="34" fillId="7" borderId="1" xfId="0" applyFont="1" applyFill="1" applyBorder="1"/>
    <xf numFmtId="0" fontId="21" fillId="2" borderId="1" xfId="0" applyFont="1" applyFill="1" applyBorder="1" applyAlignment="1">
      <alignment horizontal="center"/>
    </xf>
    <xf numFmtId="0" fontId="35" fillId="6" borderId="3" xfId="0" applyFont="1" applyFill="1" applyBorder="1"/>
    <xf numFmtId="0" fontId="35" fillId="0" borderId="0" xfId="0" applyFont="1"/>
    <xf numFmtId="0" fontId="33" fillId="0" borderId="1" xfId="0" applyFont="1" applyBorder="1" applyAlignment="1">
      <alignment horizontal="center"/>
    </xf>
    <xf numFmtId="0" fontId="33" fillId="0" borderId="1" xfId="0" applyFont="1" applyBorder="1"/>
    <xf numFmtId="0" fontId="35" fillId="0" borderId="1" xfId="0" applyFont="1" applyBorder="1"/>
    <xf numFmtId="0" fontId="36" fillId="0" borderId="1" xfId="0" applyFont="1" applyBorder="1" applyAlignment="1">
      <alignment horizontal="center"/>
    </xf>
    <xf numFmtId="0" fontId="34" fillId="0" borderId="0" xfId="0" applyFont="1"/>
    <xf numFmtId="0" fontId="35" fillId="0" borderId="0" xfId="0" applyFont="1"/>
    <xf numFmtId="0" fontId="17" fillId="0" borderId="0" xfId="0" applyFont="1"/>
    <xf numFmtId="0" fontId="33" fillId="0" borderId="0" xfId="0" applyFont="1"/>
    <xf numFmtId="0" fontId="37" fillId="0" borderId="0" xfId="0" applyFont="1"/>
    <xf numFmtId="0" fontId="38" fillId="0" borderId="0" xfId="0" applyFont="1"/>
    <xf numFmtId="0" fontId="39" fillId="9" borderId="1" xfId="0" applyFont="1" applyFill="1" applyBorder="1" applyAlignment="1">
      <alignment horizontal="left"/>
    </xf>
    <xf numFmtId="0" fontId="33" fillId="0" borderId="1" xfId="0" applyFont="1" applyBorder="1" applyAlignment="1">
      <alignment horizontal="center"/>
    </xf>
    <xf numFmtId="0" fontId="33" fillId="0" borderId="1" xfId="0" applyFont="1" applyBorder="1"/>
    <xf numFmtId="0" fontId="35" fillId="0" borderId="1" xfId="0" applyFont="1" applyBorder="1"/>
    <xf numFmtId="0" fontId="36" fillId="0" borderId="1" xfId="0" applyFont="1" applyBorder="1" applyAlignment="1">
      <alignment horizontal="center"/>
    </xf>
    <xf numFmtId="0" fontId="34" fillId="0" borderId="0" xfId="0" applyFont="1"/>
    <xf numFmtId="0" fontId="33" fillId="0" borderId="0" xfId="0" applyFont="1"/>
    <xf numFmtId="0" fontId="40" fillId="0" borderId="0" xfId="0" applyFont="1"/>
    <xf numFmtId="0" fontId="41" fillId="0" borderId="0" xfId="0" applyFont="1"/>
    <xf numFmtId="0" fontId="21" fillId="18" borderId="3" xfId="0" applyFont="1" applyFill="1" applyBorder="1" applyAlignment="1">
      <alignment horizontal="center"/>
    </xf>
    <xf numFmtId="0" fontId="22" fillId="0" borderId="0" xfId="0" applyFont="1"/>
    <xf numFmtId="0" fontId="21" fillId="4" borderId="3" xfId="0" applyFont="1" applyFill="1" applyBorder="1"/>
    <xf numFmtId="0" fontId="22" fillId="4" borderId="3" xfId="0" applyFont="1" applyFill="1" applyBorder="1"/>
    <xf numFmtId="0" fontId="21" fillId="0" borderId="0" xfId="0" applyFont="1"/>
    <xf numFmtId="0" fontId="21" fillId="7" borderId="3" xfId="0" applyFont="1" applyFill="1" applyBorder="1"/>
    <xf numFmtId="0" fontId="22" fillId="7" borderId="3" xfId="0" applyFont="1" applyFill="1" applyBorder="1"/>
    <xf numFmtId="0" fontId="28" fillId="9" borderId="3" xfId="0" applyFont="1" applyFill="1" applyBorder="1" applyAlignment="1">
      <alignment horizontal="left"/>
    </xf>
    <xf numFmtId="0" fontId="21" fillId="0" borderId="0" xfId="0" applyFont="1" applyAlignment="1">
      <alignment horizontal="center"/>
    </xf>
    <xf numFmtId="0" fontId="21" fillId="18" borderId="1" xfId="0" applyFont="1" applyFill="1" applyBorder="1" applyAlignment="1">
      <alignment horizontal="center"/>
    </xf>
    <xf numFmtId="0" fontId="22" fillId="18" borderId="3" xfId="0" applyFont="1" applyFill="1" applyBorder="1" applyAlignment="1">
      <alignment horizontal="center"/>
    </xf>
    <xf numFmtId="0" fontId="17" fillId="4" borderId="3" xfId="0" applyFont="1" applyFill="1" applyBorder="1" applyAlignment="1">
      <alignment horizontal="center"/>
    </xf>
    <xf numFmtId="0" fontId="22" fillId="0" borderId="0" xfId="0" applyFont="1" applyAlignment="1">
      <alignment horizontal="left"/>
    </xf>
    <xf numFmtId="0" fontId="34" fillId="18" borderId="3" xfId="0" applyFont="1" applyFill="1" applyBorder="1" applyAlignment="1">
      <alignment horizontal="center"/>
    </xf>
    <xf numFmtId="0" fontId="42" fillId="18" borderId="3" xfId="0" applyFont="1" applyFill="1" applyBorder="1" applyAlignment="1">
      <alignment horizontal="center"/>
    </xf>
    <xf numFmtId="0" fontId="43" fillId="0" borderId="0" xfId="0" applyFont="1"/>
    <xf numFmtId="0" fontId="2" fillId="18" borderId="3" xfId="0" applyFont="1" applyFill="1" applyBorder="1" applyAlignment="1">
      <alignment horizontal="center"/>
    </xf>
    <xf numFmtId="0" fontId="22" fillId="5" borderId="3" xfId="0" applyFont="1" applyFill="1" applyBorder="1"/>
    <xf numFmtId="0" fontId="31" fillId="9" borderId="3" xfId="0" applyFont="1" applyFill="1" applyBorder="1" applyAlignment="1">
      <alignment horizontal="left"/>
    </xf>
    <xf numFmtId="0" fontId="44" fillId="9" borderId="3" xfId="0" applyFont="1" applyFill="1" applyBorder="1"/>
    <xf numFmtId="0" fontId="45" fillId="9" borderId="3" xfId="0" applyFont="1" applyFill="1" applyBorder="1"/>
    <xf numFmtId="0" fontId="46" fillId="0" borderId="0" xfId="0" applyFont="1"/>
    <xf numFmtId="0" fontId="47" fillId="9" borderId="3" xfId="0" applyFont="1" applyFill="1" applyBorder="1"/>
    <xf numFmtId="0" fontId="48" fillId="9" borderId="3" xfId="0" applyFont="1" applyFill="1" applyBorder="1"/>
    <xf numFmtId="0" fontId="22" fillId="18" borderId="3" xfId="0" applyFont="1" applyFill="1" applyBorder="1"/>
    <xf numFmtId="0" fontId="49" fillId="9" borderId="3" xfId="0" applyFont="1" applyFill="1" applyBorder="1"/>
    <xf numFmtId="0" fontId="50" fillId="9" borderId="3" xfId="0" applyFont="1" applyFill="1" applyBorder="1" applyAlignment="1">
      <alignment horizontal="left"/>
    </xf>
    <xf numFmtId="0" fontId="51" fillId="9" borderId="3" xfId="0" applyFont="1" applyFill="1" applyBorder="1"/>
    <xf numFmtId="0" fontId="51" fillId="0" borderId="0" xfId="0" applyFont="1"/>
    <xf numFmtId="0" fontId="52" fillId="0" borderId="0" xfId="0" applyFont="1"/>
    <xf numFmtId="0" fontId="53" fillId="9" borderId="3" xfId="0" applyFont="1" applyFill="1" applyBorder="1"/>
    <xf numFmtId="0" fontId="33" fillId="0" borderId="0" xfId="0" applyFont="1" applyAlignment="1">
      <alignment horizontal="left"/>
    </xf>
    <xf numFmtId="0" fontId="54" fillId="9" borderId="3" xfId="0" applyFont="1" applyFill="1" applyBorder="1" applyAlignment="1">
      <alignment horizontal="left"/>
    </xf>
    <xf numFmtId="0" fontId="55" fillId="18" borderId="3" xfId="0" applyFont="1" applyFill="1" applyBorder="1" applyAlignment="1">
      <alignment horizontal="left" wrapText="1"/>
    </xf>
    <xf numFmtId="0" fontId="56" fillId="0" borderId="0" xfId="0" applyFont="1" applyAlignment="1">
      <alignment horizontal="left" wrapText="1"/>
    </xf>
    <xf numFmtId="0" fontId="57" fillId="18" borderId="3" xfId="0" applyFont="1" applyFill="1" applyBorder="1"/>
    <xf numFmtId="0" fontId="58" fillId="9" borderId="3" xfId="0" applyFont="1" applyFill="1" applyBorder="1"/>
    <xf numFmtId="0" fontId="59" fillId="9" borderId="3" xfId="0" applyFont="1" applyFill="1" applyBorder="1"/>
    <xf numFmtId="0" fontId="4" fillId="0" borderId="0" xfId="0" applyFont="1"/>
    <xf numFmtId="0" fontId="29" fillId="16" borderId="7" xfId="0" applyFont="1" applyFill="1" applyBorder="1" applyAlignment="1">
      <alignment vertical="top" wrapText="1"/>
    </xf>
    <xf numFmtId="0" fontId="30" fillId="0" borderId="9" xfId="0" applyFont="1" applyBorder="1"/>
  </cellXfs>
  <cellStyles count="1">
    <cellStyle name="Normal" xfId="0" builtinId="0"/>
  </cellStyles>
  <dxfs count="12">
    <dxf>
      <fill>
        <patternFill patternType="solid">
          <fgColor rgb="FFFFFFFF"/>
          <bgColor rgb="FFFFFFFF"/>
        </patternFill>
      </fill>
    </dxf>
    <dxf>
      <fill>
        <patternFill patternType="solid">
          <fgColor rgb="FFE7F9EF"/>
          <bgColor rgb="FFE7F9EF"/>
        </patternFill>
      </fill>
    </dxf>
    <dxf>
      <fill>
        <patternFill patternType="solid">
          <fgColor rgb="FFFFFFFF"/>
          <bgColor rgb="FFFFFFFF"/>
        </patternFill>
      </fill>
    </dxf>
    <dxf>
      <fill>
        <patternFill patternType="solid">
          <fgColor rgb="FFE7F9EF"/>
          <bgColor rgb="FFE7F9EF"/>
        </patternFill>
      </fill>
    </dxf>
    <dxf>
      <fill>
        <patternFill patternType="solid">
          <fgColor rgb="FFFFFFFF"/>
          <bgColor rgb="FFFFFFFF"/>
        </patternFill>
      </fill>
    </dxf>
    <dxf>
      <fill>
        <patternFill patternType="solid">
          <fgColor rgb="FFE7F9EF"/>
          <bgColor rgb="FFE7F9EF"/>
        </patternFill>
      </fill>
    </dxf>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s>
  <tableStyles count="5">
    <tableStyle name="Fees Details-style" pivot="0" count="3">
      <tableStyleElement type="headerRow" dxfId="11"/>
      <tableStyleElement type="firstRowStripe" dxfId="10"/>
      <tableStyleElement type="secondRowStripe" dxfId="9"/>
    </tableStyle>
    <tableStyle name="Company Services-style" pivot="0" count="3">
      <tableStyleElement type="headerRow" dxfId="8"/>
      <tableStyleElement type="firstRowStripe" dxfId="7"/>
      <tableStyleElement type="secondRowStripe" dxfId="6"/>
    </tableStyle>
    <tableStyle name="ISO Rate List-style" pivot="0" count="2">
      <tableStyleElement type="firstRowStripe" dxfId="5"/>
      <tableStyleElement type="secondRowStripe" dxfId="4"/>
    </tableStyle>
    <tableStyle name="ISO Rate List-style 2" pivot="0" count="2">
      <tableStyleElement type="firstRowStripe" dxfId="3"/>
      <tableStyleElement type="secondRowStripe" dxfId="2"/>
    </tableStyle>
    <tableStyle name="ISO Rate List-style 3" pivot="0" count="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id="1" name="Table_1" displayName="Table_1" ref="A1:Z110" headerRowCount="0">
  <tableColumns count="26">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s>
  <tableStyleInfo name="Fees Details-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1" displayName="Table1" ref="A1:K17">
  <tableColumns count="11">
    <tableColumn id="1" name="Service"/>
    <tableColumn id="2" name="Validity"/>
    <tableColumn id="3" name="Total Fees"/>
    <tableColumn id="4" name="Last Day"/>
    <tableColumn id="5" name="Penalty"/>
    <tableColumn id="6" name="Outsource Fees"/>
    <tableColumn id="7" name="Gov fees"/>
    <tableColumn id="8" name="Our Charges"/>
    <tableColumn id="9" name="Process Time"/>
    <tableColumn id="10" name="We provide"/>
    <tableColumn id="11" name="Dcuments required"/>
  </tableColumns>
  <tableStyleInfo name="Company Services-style" showFirstColumn="1" showLastColumn="1" showRowStripes="1" showColumnStripes="0"/>
</table>
</file>

<file path=xl/tables/table3.xml><?xml version="1.0" encoding="utf-8"?>
<table xmlns="http://schemas.openxmlformats.org/spreadsheetml/2006/main" id="3" name="Table_2" displayName="Table_2" ref="A1:K64" headerRowCount="0">
  <tableColumns count="1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s>
  <tableStyleInfo name="ISO Rate List-style" showFirstColumn="1" showLastColumn="1" showRowStripes="1" showColumnStripes="0"/>
</table>
</file>

<file path=xl/tables/table4.xml><?xml version="1.0" encoding="utf-8"?>
<table xmlns="http://schemas.openxmlformats.org/spreadsheetml/2006/main" id="4" name="Table_3" displayName="Table_3" ref="A69:H75"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ISO Rate List-style 2" showFirstColumn="1" showLastColumn="1" showRowStripes="1" showColumnStripes="0"/>
</table>
</file>

<file path=xl/tables/table5.xml><?xml version="1.0" encoding="utf-8"?>
<table xmlns="http://schemas.openxmlformats.org/spreadsheetml/2006/main" id="5" name="Table_4" displayName="Table_4" ref="A78:H84"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ISO Rate List-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a.me/p/8405874116098188/918467054360" TargetMode="External"/><Relationship Id="rId13" Type="http://schemas.openxmlformats.org/officeDocument/2006/relationships/hyperlink" Target="https://wa.me/p/7894943910631713/918467054360" TargetMode="External"/><Relationship Id="rId18" Type="http://schemas.openxmlformats.org/officeDocument/2006/relationships/hyperlink" Target="https://wa.me/p/7823185657720021/918467054360" TargetMode="External"/><Relationship Id="rId26" Type="http://schemas.openxmlformats.org/officeDocument/2006/relationships/hyperlink" Target="https://wa.me/p/7769406796449057/918467054360" TargetMode="External"/><Relationship Id="rId39" Type="http://schemas.openxmlformats.org/officeDocument/2006/relationships/hyperlink" Target="https://wa.me/p/8188391017887463/918467054360" TargetMode="External"/><Relationship Id="rId3" Type="http://schemas.openxmlformats.org/officeDocument/2006/relationships/hyperlink" Target="https://wa.me/p/26254468517531513/918467054360" TargetMode="External"/><Relationship Id="rId21" Type="http://schemas.openxmlformats.org/officeDocument/2006/relationships/hyperlink" Target="https://wa.me/p/7787655661299276/918467054360" TargetMode="External"/><Relationship Id="rId34" Type="http://schemas.openxmlformats.org/officeDocument/2006/relationships/hyperlink" Target="https://wa.me/p/8111330705602524/918467054360" TargetMode="External"/><Relationship Id="rId7" Type="http://schemas.openxmlformats.org/officeDocument/2006/relationships/hyperlink" Target="https://wa.me/p/8051845834863146/918467054360" TargetMode="External"/><Relationship Id="rId12" Type="http://schemas.openxmlformats.org/officeDocument/2006/relationships/hyperlink" Target="https://wa.me/p/7894943910631713/918467054360" TargetMode="External"/><Relationship Id="rId17" Type="http://schemas.openxmlformats.org/officeDocument/2006/relationships/hyperlink" Target="https://wa.me/p/7477930845666823/918467054360" TargetMode="External"/><Relationship Id="rId25" Type="http://schemas.openxmlformats.org/officeDocument/2006/relationships/hyperlink" Target="https://wa.me/p/8551078018270024/918467054360" TargetMode="External"/><Relationship Id="rId33" Type="http://schemas.openxmlformats.org/officeDocument/2006/relationships/hyperlink" Target="https://wa.me/p/8111330705602524/918467054360" TargetMode="External"/><Relationship Id="rId38" Type="http://schemas.openxmlformats.org/officeDocument/2006/relationships/hyperlink" Target="https://wa.me/p/8019546994799588/918467054360" TargetMode="External"/><Relationship Id="rId2" Type="http://schemas.openxmlformats.org/officeDocument/2006/relationships/hyperlink" Target="https://wa.me/p/26254468517531513/918467054360" TargetMode="External"/><Relationship Id="rId16" Type="http://schemas.openxmlformats.org/officeDocument/2006/relationships/hyperlink" Target="https://wa.me/p/7894943910631713/918467054360" TargetMode="External"/><Relationship Id="rId20" Type="http://schemas.openxmlformats.org/officeDocument/2006/relationships/hyperlink" Target="https://wa.me/p/8184371281575162/918467054360" TargetMode="External"/><Relationship Id="rId29" Type="http://schemas.openxmlformats.org/officeDocument/2006/relationships/hyperlink" Target="https://wa.me/p/8926414734054576/918467054360" TargetMode="External"/><Relationship Id="rId41" Type="http://schemas.openxmlformats.org/officeDocument/2006/relationships/table" Target="../tables/table1.xml"/><Relationship Id="rId1" Type="http://schemas.openxmlformats.org/officeDocument/2006/relationships/hyperlink" Target="https://wa.me/p/8051845834863146/918467054360" TargetMode="External"/><Relationship Id="rId6" Type="http://schemas.openxmlformats.org/officeDocument/2006/relationships/hyperlink" Target="https://wa.me/p/26254468517531513/918467054360" TargetMode="External"/><Relationship Id="rId11" Type="http://schemas.openxmlformats.org/officeDocument/2006/relationships/hyperlink" Target="https://wa.me/p/7894943910631713/918467054360" TargetMode="External"/><Relationship Id="rId24" Type="http://schemas.openxmlformats.org/officeDocument/2006/relationships/hyperlink" Target="https://wa.me/p/7960593743961316/918467054360" TargetMode="External"/><Relationship Id="rId32" Type="http://schemas.openxmlformats.org/officeDocument/2006/relationships/hyperlink" Target="https://wa.me/p/8111330705602524/918467054360" TargetMode="External"/><Relationship Id="rId37" Type="http://schemas.openxmlformats.org/officeDocument/2006/relationships/hyperlink" Target="https://wa.me/p/8019546994799588/918467054360" TargetMode="External"/><Relationship Id="rId40" Type="http://schemas.openxmlformats.org/officeDocument/2006/relationships/hyperlink" Target="https://wa.me/p/26395830586730248/918467054360" TargetMode="External"/><Relationship Id="rId5" Type="http://schemas.openxmlformats.org/officeDocument/2006/relationships/hyperlink" Target="https://wa.me/p/26254468517531513/918467054360" TargetMode="External"/><Relationship Id="rId15" Type="http://schemas.openxmlformats.org/officeDocument/2006/relationships/hyperlink" Target="https://wa.me/p/7894943910631713/918467054360" TargetMode="External"/><Relationship Id="rId23" Type="http://schemas.openxmlformats.org/officeDocument/2006/relationships/hyperlink" Target="https://wa.me/p/7347163215385888/918467054360" TargetMode="External"/><Relationship Id="rId28" Type="http://schemas.openxmlformats.org/officeDocument/2006/relationships/hyperlink" Target="https://wa.me/p/7788871807889505/918467054360" TargetMode="External"/><Relationship Id="rId36" Type="http://schemas.openxmlformats.org/officeDocument/2006/relationships/hyperlink" Target="https://wa.me/p/8019546994799588/918467054360" TargetMode="External"/><Relationship Id="rId10" Type="http://schemas.openxmlformats.org/officeDocument/2006/relationships/hyperlink" Target="https://wa.me/p/8405874116098188/918467054360" TargetMode="External"/><Relationship Id="rId19" Type="http://schemas.openxmlformats.org/officeDocument/2006/relationships/hyperlink" Target="https://wa.me/p/7823185657720021/918467054360" TargetMode="External"/><Relationship Id="rId31" Type="http://schemas.openxmlformats.org/officeDocument/2006/relationships/hyperlink" Target="https://wa.me/p/7807867312662955/918467054360" TargetMode="External"/><Relationship Id="rId4" Type="http://schemas.openxmlformats.org/officeDocument/2006/relationships/hyperlink" Target="https://wa.me/p/26254468517531513/918467054360" TargetMode="External"/><Relationship Id="rId9" Type="http://schemas.openxmlformats.org/officeDocument/2006/relationships/hyperlink" Target="https://wa.me/p/8405874116098188/918467054360" TargetMode="External"/><Relationship Id="rId14" Type="http://schemas.openxmlformats.org/officeDocument/2006/relationships/hyperlink" Target="https://wa.me/p/7894943910631713/918467054360" TargetMode="External"/><Relationship Id="rId22" Type="http://schemas.openxmlformats.org/officeDocument/2006/relationships/hyperlink" Target="https://wa.me/p/8221390674537534/918467054360" TargetMode="External"/><Relationship Id="rId27" Type="http://schemas.openxmlformats.org/officeDocument/2006/relationships/hyperlink" Target="https://wa.me/p/7477930845666823/918467054360" TargetMode="External"/><Relationship Id="rId30" Type="http://schemas.openxmlformats.org/officeDocument/2006/relationships/hyperlink" Target="https://wa.me/p/7997229773647944/918467054360" TargetMode="External"/><Relationship Id="rId35" Type="http://schemas.openxmlformats.org/officeDocument/2006/relationships/hyperlink" Target="https://wa.me/p/8111330705602524/918467054360"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a.me/p/7363376297096190/918467054360" TargetMode="External"/><Relationship Id="rId1" Type="http://schemas.openxmlformats.org/officeDocument/2006/relationships/hyperlink" Target="https://wa.me/p/8838413852853768/918467054360"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www.icvassessments.com/certified-organisation" TargetMode="External"/><Relationship Id="rId7" Type="http://schemas.openxmlformats.org/officeDocument/2006/relationships/table" Target="../tables/table3.xml"/><Relationship Id="rId2" Type="http://schemas.openxmlformats.org/officeDocument/2006/relationships/hyperlink" Target="https://www.gaafs.us/certified-organizations" TargetMode="External"/><Relationship Id="rId1" Type="http://schemas.openxmlformats.org/officeDocument/2006/relationships/hyperlink" Target="http://www.stariso.co.uk/clients" TargetMode="External"/><Relationship Id="rId6" Type="http://schemas.openxmlformats.org/officeDocument/2006/relationships/hyperlink" Target="http://www.iafcertsearch.org/" TargetMode="External"/><Relationship Id="rId5" Type="http://schemas.openxmlformats.org/officeDocument/2006/relationships/hyperlink" Target="https://sckcerts.com/search-client/" TargetMode="External"/><Relationship Id="rId4" Type="http://schemas.openxmlformats.org/officeDocument/2006/relationships/hyperlink" Target="http://qrocert.org/verify.aspx" TargetMode="External"/><Relationship Id="rId9"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hyperlink" Target="https://corpbiz.io/residential-rental-agreem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A1008"/>
  <sheetViews>
    <sheetView topLeftCell="A25" workbookViewId="0">
      <selection activeCell="C48" sqref="C48"/>
    </sheetView>
  </sheetViews>
  <sheetFormatPr defaultColWidth="14.44140625" defaultRowHeight="15" customHeight="1"/>
  <cols>
    <col min="1" max="1" width="7.33203125" customWidth="1"/>
    <col min="2" max="2" width="112.44140625" customWidth="1"/>
    <col min="3" max="3" width="15.33203125" customWidth="1"/>
    <col min="4" max="4" width="16.5546875" customWidth="1"/>
    <col min="5" max="5" width="12.88671875" customWidth="1"/>
    <col min="6" max="6" width="13.6640625" customWidth="1"/>
    <col min="7" max="7" width="18.44140625" customWidth="1"/>
    <col min="8" max="8" width="24.109375" customWidth="1"/>
    <col min="9" max="9" width="18.5546875" customWidth="1"/>
    <col min="10" max="10" width="16.44140625" customWidth="1"/>
    <col min="11" max="11" width="20.6640625" customWidth="1"/>
    <col min="12" max="12" width="29.33203125" customWidth="1"/>
    <col min="13" max="13" width="23.109375" customWidth="1"/>
    <col min="14" max="14" width="28.88671875" customWidth="1"/>
    <col min="15" max="15" width="13.88671875" customWidth="1"/>
    <col min="16" max="27" width="8.6640625" customWidth="1"/>
  </cols>
  <sheetData>
    <row r="1" spans="1:27" ht="24.75" customHeight="1">
      <c r="A1" s="1" t="s">
        <v>0</v>
      </c>
      <c r="B1" s="2" t="s">
        <v>1</v>
      </c>
      <c r="C1" s="2" t="s">
        <v>2</v>
      </c>
      <c r="D1" s="2"/>
      <c r="E1" s="2" t="s">
        <v>3</v>
      </c>
      <c r="F1" s="3" t="s">
        <v>4</v>
      </c>
      <c r="G1" s="4" t="s">
        <v>5</v>
      </c>
      <c r="H1" s="5" t="s">
        <v>6</v>
      </c>
      <c r="I1" s="5" t="s">
        <v>7</v>
      </c>
      <c r="J1" s="2" t="s">
        <v>8</v>
      </c>
      <c r="K1" s="2" t="s">
        <v>9</v>
      </c>
      <c r="L1" s="2" t="s">
        <v>10</v>
      </c>
      <c r="M1" s="2" t="s">
        <v>11</v>
      </c>
      <c r="N1" s="2" t="s">
        <v>12</v>
      </c>
      <c r="O1" s="2"/>
      <c r="P1" s="2"/>
      <c r="Q1" s="2"/>
      <c r="R1" s="2"/>
      <c r="S1" s="2"/>
      <c r="T1" s="6"/>
      <c r="U1" s="6"/>
      <c r="V1" s="6"/>
      <c r="W1" s="6"/>
      <c r="X1" s="6"/>
      <c r="Y1" s="6"/>
      <c r="Z1" s="6"/>
    </row>
    <row r="2" spans="1:27" ht="24.75" customHeight="1">
      <c r="A2" s="7"/>
      <c r="B2" s="8" t="s">
        <v>13</v>
      </c>
      <c r="C2" s="9"/>
      <c r="D2" s="9"/>
      <c r="E2" s="10"/>
      <c r="F2" s="7"/>
      <c r="G2" s="11"/>
      <c r="H2" s="10"/>
      <c r="I2" s="10"/>
      <c r="J2" s="10"/>
      <c r="K2" s="10"/>
      <c r="L2" s="10"/>
      <c r="M2" s="10"/>
      <c r="N2" s="10"/>
      <c r="O2" s="10"/>
      <c r="P2" s="10"/>
      <c r="Q2" s="10"/>
      <c r="R2" s="10"/>
      <c r="S2" s="10"/>
      <c r="T2" s="12"/>
      <c r="U2" s="12"/>
      <c r="V2" s="12"/>
      <c r="W2" s="12"/>
      <c r="X2" s="12"/>
      <c r="Y2" s="12"/>
      <c r="Z2" s="12"/>
      <c r="AA2" s="13"/>
    </row>
    <row r="3" spans="1:27" ht="24.75" customHeight="1">
      <c r="A3" s="14">
        <v>1</v>
      </c>
      <c r="B3" s="15" t="s">
        <v>14</v>
      </c>
      <c r="C3" s="16">
        <v>1000</v>
      </c>
      <c r="D3" s="17" t="s">
        <v>15</v>
      </c>
      <c r="E3" s="15" t="s">
        <v>16</v>
      </c>
      <c r="F3" s="14" t="s">
        <v>17</v>
      </c>
      <c r="G3" s="18" t="s">
        <v>18</v>
      </c>
      <c r="H3" s="15"/>
      <c r="I3" s="15"/>
      <c r="J3" s="15"/>
      <c r="K3" s="15"/>
      <c r="L3" s="15"/>
      <c r="M3" s="15"/>
      <c r="N3" s="15"/>
      <c r="O3" s="15"/>
      <c r="P3" s="15"/>
      <c r="Q3" s="15"/>
      <c r="R3" s="15"/>
      <c r="S3" s="15"/>
      <c r="T3" s="19"/>
      <c r="U3" s="19"/>
      <c r="V3" s="19"/>
      <c r="W3" s="19"/>
      <c r="X3" s="19"/>
      <c r="Y3" s="19"/>
      <c r="Z3" s="19"/>
    </row>
    <row r="4" spans="1:27" ht="24.75" customHeight="1">
      <c r="A4" s="14">
        <v>2</v>
      </c>
      <c r="B4" s="16" t="s">
        <v>19</v>
      </c>
      <c r="C4" s="16">
        <v>300</v>
      </c>
      <c r="D4" s="20" t="s">
        <v>20</v>
      </c>
      <c r="E4" s="15" t="s">
        <v>21</v>
      </c>
      <c r="F4" s="14" t="s">
        <v>17</v>
      </c>
      <c r="G4" s="21" t="s">
        <v>22</v>
      </c>
      <c r="H4" s="16">
        <v>2000</v>
      </c>
      <c r="I4" s="15" t="s">
        <v>23</v>
      </c>
      <c r="J4" s="15" t="s">
        <v>24</v>
      </c>
      <c r="K4" s="15" t="s">
        <v>25</v>
      </c>
      <c r="L4" s="15" t="s">
        <v>26</v>
      </c>
      <c r="M4" s="15"/>
      <c r="N4" s="15"/>
      <c r="O4" s="15"/>
      <c r="P4" s="15"/>
      <c r="Q4" s="15"/>
      <c r="R4" s="15"/>
      <c r="S4" s="15"/>
      <c r="T4" s="19"/>
      <c r="U4" s="19"/>
      <c r="V4" s="19"/>
      <c r="W4" s="19"/>
      <c r="X4" s="19"/>
      <c r="Y4" s="19"/>
      <c r="Z4" s="19"/>
    </row>
    <row r="5" spans="1:27" ht="24.75" customHeight="1">
      <c r="A5" s="14">
        <v>3</v>
      </c>
      <c r="B5" s="16" t="s">
        <v>27</v>
      </c>
      <c r="C5" s="16">
        <v>500</v>
      </c>
      <c r="D5" s="20" t="s">
        <v>20</v>
      </c>
      <c r="E5" s="15" t="s">
        <v>21</v>
      </c>
      <c r="F5" s="14" t="s">
        <v>17</v>
      </c>
      <c r="G5" s="21" t="s">
        <v>28</v>
      </c>
      <c r="H5" s="16">
        <v>3000</v>
      </c>
      <c r="I5" s="15" t="s">
        <v>23</v>
      </c>
      <c r="J5" s="15" t="s">
        <v>24</v>
      </c>
      <c r="K5" s="15" t="s">
        <v>25</v>
      </c>
      <c r="L5" s="15" t="s">
        <v>26</v>
      </c>
      <c r="M5" s="15"/>
      <c r="N5" s="15"/>
      <c r="O5" s="15"/>
      <c r="P5" s="15"/>
      <c r="Q5" s="15"/>
      <c r="R5" s="15"/>
      <c r="S5" s="15"/>
      <c r="T5" s="19"/>
      <c r="U5" s="19"/>
      <c r="V5" s="19"/>
      <c r="W5" s="19"/>
      <c r="X5" s="19"/>
      <c r="Y5" s="19"/>
      <c r="Z5" s="19"/>
    </row>
    <row r="6" spans="1:27" ht="24.75" customHeight="1">
      <c r="A6" s="14">
        <v>4</v>
      </c>
      <c r="B6" s="16" t="s">
        <v>29</v>
      </c>
      <c r="C6" s="16">
        <v>750</v>
      </c>
      <c r="D6" s="17" t="s">
        <v>20</v>
      </c>
      <c r="E6" s="15" t="s">
        <v>21</v>
      </c>
      <c r="F6" s="14" t="s">
        <v>17</v>
      </c>
      <c r="G6" s="21" t="s">
        <v>30</v>
      </c>
      <c r="H6" s="15">
        <v>5000</v>
      </c>
      <c r="I6" s="15" t="s">
        <v>23</v>
      </c>
      <c r="J6" s="15" t="s">
        <v>24</v>
      </c>
      <c r="K6" s="15" t="s">
        <v>25</v>
      </c>
      <c r="L6" s="15" t="s">
        <v>26</v>
      </c>
      <c r="M6" s="15"/>
      <c r="N6" s="15"/>
      <c r="O6" s="15"/>
      <c r="P6" s="15"/>
      <c r="Q6" s="15"/>
      <c r="R6" s="15"/>
      <c r="S6" s="15"/>
      <c r="T6" s="19"/>
      <c r="U6" s="19"/>
      <c r="V6" s="19"/>
      <c r="W6" s="19"/>
      <c r="X6" s="19"/>
      <c r="Y6" s="19"/>
      <c r="Z6" s="19"/>
      <c r="AA6" s="22"/>
    </row>
    <row r="7" spans="1:27" ht="24.75" customHeight="1">
      <c r="A7" s="14">
        <v>5</v>
      </c>
      <c r="B7" s="16" t="s">
        <v>31</v>
      </c>
      <c r="C7" s="16">
        <v>1000</v>
      </c>
      <c r="D7" s="17" t="s">
        <v>20</v>
      </c>
      <c r="E7" s="15" t="s">
        <v>21</v>
      </c>
      <c r="F7" s="14" t="s">
        <v>17</v>
      </c>
      <c r="G7" s="21" t="s">
        <v>30</v>
      </c>
      <c r="H7" s="15">
        <v>10000</v>
      </c>
      <c r="I7" s="15" t="s">
        <v>23</v>
      </c>
      <c r="J7" s="15" t="s">
        <v>24</v>
      </c>
      <c r="K7" s="15" t="s">
        <v>25</v>
      </c>
      <c r="L7" s="15" t="s">
        <v>26</v>
      </c>
      <c r="M7" s="15"/>
      <c r="N7" s="15"/>
      <c r="O7" s="15"/>
      <c r="P7" s="15"/>
      <c r="Q7" s="15"/>
      <c r="R7" s="15"/>
      <c r="S7" s="15"/>
      <c r="T7" s="19"/>
      <c r="U7" s="19"/>
      <c r="V7" s="19"/>
      <c r="W7" s="19"/>
      <c r="X7" s="19"/>
      <c r="Y7" s="19"/>
      <c r="Z7" s="19"/>
      <c r="AA7" s="22"/>
    </row>
    <row r="8" spans="1:27" ht="27" customHeight="1">
      <c r="A8" s="23">
        <v>6</v>
      </c>
      <c r="B8" s="16" t="s">
        <v>32</v>
      </c>
      <c r="C8" s="23">
        <v>1500</v>
      </c>
      <c r="D8" s="24" t="s">
        <v>20</v>
      </c>
      <c r="E8" s="15" t="s">
        <v>21</v>
      </c>
      <c r="F8" s="14" t="s">
        <v>17</v>
      </c>
      <c r="G8" s="21" t="s">
        <v>30</v>
      </c>
      <c r="H8" s="23">
        <v>16000</v>
      </c>
    </row>
    <row r="9" spans="1:27" ht="24.75" customHeight="1">
      <c r="A9" s="25">
        <v>7</v>
      </c>
      <c r="B9" s="26" t="s">
        <v>33</v>
      </c>
      <c r="C9" s="27">
        <v>8000</v>
      </c>
      <c r="D9" s="27"/>
      <c r="E9" s="26" t="s">
        <v>34</v>
      </c>
      <c r="F9" s="28" t="s">
        <v>17</v>
      </c>
      <c r="G9" s="29" t="s">
        <v>35</v>
      </c>
      <c r="H9" s="26"/>
      <c r="I9" s="26"/>
      <c r="J9" s="26"/>
      <c r="K9" s="26"/>
      <c r="L9" s="26"/>
      <c r="M9" s="26"/>
      <c r="N9" s="26"/>
      <c r="O9" s="26"/>
      <c r="P9" s="26"/>
      <c r="Q9" s="26"/>
      <c r="R9" s="26"/>
      <c r="S9" s="26"/>
      <c r="T9" s="30"/>
      <c r="U9" s="30"/>
      <c r="V9" s="30"/>
      <c r="W9" s="30"/>
      <c r="X9" s="30"/>
      <c r="Y9" s="30"/>
      <c r="Z9" s="30"/>
    </row>
    <row r="10" spans="1:27" ht="24.75" customHeight="1">
      <c r="A10" s="28">
        <v>8</v>
      </c>
      <c r="B10" s="26" t="s">
        <v>36</v>
      </c>
      <c r="C10" s="27">
        <v>1000</v>
      </c>
      <c r="D10" s="27"/>
      <c r="E10" s="26" t="s">
        <v>21</v>
      </c>
      <c r="F10" s="28" t="s">
        <v>17</v>
      </c>
      <c r="G10" s="29" t="s">
        <v>22</v>
      </c>
      <c r="H10" s="26"/>
      <c r="I10" s="26"/>
      <c r="J10" s="26"/>
      <c r="K10" s="26"/>
      <c r="L10" s="26"/>
      <c r="M10" s="26"/>
      <c r="N10" s="26"/>
      <c r="O10" s="26"/>
      <c r="P10" s="26"/>
      <c r="Q10" s="26"/>
      <c r="R10" s="26"/>
      <c r="S10" s="26"/>
      <c r="T10" s="30"/>
      <c r="U10" s="30"/>
      <c r="V10" s="30"/>
      <c r="W10" s="30"/>
      <c r="X10" s="30"/>
      <c r="Y10" s="30"/>
      <c r="Z10" s="30"/>
    </row>
    <row r="11" spans="1:27" ht="24.75" customHeight="1">
      <c r="A11" s="28">
        <v>9</v>
      </c>
      <c r="B11" s="26" t="s">
        <v>37</v>
      </c>
      <c r="C11" s="27">
        <v>1500</v>
      </c>
      <c r="D11" s="27"/>
      <c r="E11" s="26" t="s">
        <v>21</v>
      </c>
      <c r="F11" s="28" t="s">
        <v>17</v>
      </c>
      <c r="G11" s="29" t="s">
        <v>28</v>
      </c>
      <c r="H11" s="26"/>
      <c r="I11" s="26"/>
      <c r="J11" s="26"/>
      <c r="K11" s="26"/>
      <c r="L11" s="26"/>
      <c r="M11" s="26"/>
      <c r="N11" s="26"/>
      <c r="O11" s="26"/>
      <c r="P11" s="26"/>
      <c r="Q11" s="26"/>
      <c r="R11" s="26"/>
      <c r="S11" s="26"/>
      <c r="T11" s="30"/>
      <c r="U11" s="30"/>
      <c r="V11" s="30"/>
      <c r="W11" s="30"/>
      <c r="X11" s="30"/>
      <c r="Y11" s="30"/>
      <c r="Z11" s="30"/>
    </row>
    <row r="12" spans="1:27" ht="24.75" customHeight="1">
      <c r="A12" s="28">
        <v>10</v>
      </c>
      <c r="B12" s="26" t="s">
        <v>38</v>
      </c>
      <c r="C12" s="27">
        <v>500</v>
      </c>
      <c r="D12" s="27"/>
      <c r="E12" s="26" t="s">
        <v>16</v>
      </c>
      <c r="F12" s="28" t="s">
        <v>17</v>
      </c>
      <c r="G12" s="29" t="s">
        <v>28</v>
      </c>
      <c r="H12" s="26"/>
      <c r="I12" s="26"/>
      <c r="J12" s="26"/>
      <c r="K12" s="26"/>
      <c r="L12" s="26"/>
      <c r="M12" s="26"/>
      <c r="N12" s="26"/>
      <c r="O12" s="26"/>
      <c r="P12" s="26"/>
      <c r="Q12" s="26"/>
      <c r="R12" s="26"/>
      <c r="S12" s="26"/>
      <c r="T12" s="30"/>
      <c r="U12" s="30"/>
      <c r="V12" s="30"/>
      <c r="W12" s="30"/>
      <c r="X12" s="30"/>
      <c r="Y12" s="30"/>
      <c r="Z12" s="30"/>
    </row>
    <row r="13" spans="1:27" ht="24.75" customHeight="1">
      <c r="A13" s="28">
        <v>11</v>
      </c>
      <c r="B13" s="26" t="s">
        <v>39</v>
      </c>
      <c r="C13" s="27">
        <v>800</v>
      </c>
      <c r="D13" s="27"/>
      <c r="E13" s="26" t="s">
        <v>16</v>
      </c>
      <c r="F13" s="28" t="s">
        <v>17</v>
      </c>
      <c r="G13" s="29" t="s">
        <v>28</v>
      </c>
      <c r="H13" s="26"/>
      <c r="I13" s="26"/>
      <c r="J13" s="26"/>
      <c r="K13" s="26"/>
      <c r="L13" s="26"/>
      <c r="M13" s="26"/>
      <c r="N13" s="26"/>
      <c r="O13" s="26"/>
      <c r="P13" s="26"/>
      <c r="Q13" s="26"/>
      <c r="R13" s="26"/>
      <c r="S13" s="26"/>
      <c r="T13" s="30"/>
      <c r="U13" s="30"/>
      <c r="V13" s="30"/>
      <c r="W13" s="30"/>
      <c r="X13" s="30"/>
      <c r="Y13" s="30"/>
      <c r="Z13" s="30"/>
    </row>
    <row r="14" spans="1:27" ht="24.75" customHeight="1">
      <c r="A14" s="28">
        <v>12</v>
      </c>
      <c r="B14" s="26" t="s">
        <v>40</v>
      </c>
      <c r="C14" s="27">
        <v>1000</v>
      </c>
      <c r="D14" s="31" t="s">
        <v>15</v>
      </c>
      <c r="E14" s="26" t="s">
        <v>16</v>
      </c>
      <c r="F14" s="28" t="s">
        <v>17</v>
      </c>
      <c r="G14" s="29" t="s">
        <v>28</v>
      </c>
      <c r="H14" s="26"/>
      <c r="I14" s="26"/>
      <c r="J14" s="26"/>
      <c r="K14" s="26"/>
      <c r="L14" s="26"/>
      <c r="M14" s="26"/>
      <c r="N14" s="26"/>
      <c r="O14" s="26"/>
      <c r="P14" s="26"/>
      <c r="Q14" s="26"/>
      <c r="R14" s="26"/>
      <c r="S14" s="26"/>
      <c r="T14" s="30"/>
      <c r="U14" s="30"/>
      <c r="V14" s="30"/>
      <c r="W14" s="30"/>
      <c r="X14" s="30"/>
      <c r="Y14" s="30"/>
      <c r="Z14" s="30"/>
    </row>
    <row r="15" spans="1:27" ht="24.75" customHeight="1">
      <c r="A15" s="28">
        <v>13</v>
      </c>
      <c r="B15" s="26" t="s">
        <v>41</v>
      </c>
      <c r="C15" s="27">
        <v>300</v>
      </c>
      <c r="D15" s="27"/>
      <c r="E15" s="26" t="s">
        <v>16</v>
      </c>
      <c r="F15" s="28" t="s">
        <v>17</v>
      </c>
      <c r="G15" s="29" t="s">
        <v>28</v>
      </c>
      <c r="H15" s="26"/>
      <c r="I15" s="26"/>
      <c r="J15" s="26"/>
      <c r="K15" s="26"/>
      <c r="L15" s="26"/>
      <c r="M15" s="26"/>
      <c r="N15" s="26"/>
      <c r="O15" s="26"/>
      <c r="P15" s="26"/>
      <c r="Q15" s="26"/>
      <c r="R15" s="26"/>
      <c r="S15" s="26"/>
      <c r="T15" s="30"/>
      <c r="U15" s="30"/>
      <c r="V15" s="30"/>
      <c r="W15" s="30"/>
      <c r="X15" s="30"/>
      <c r="Y15" s="30"/>
      <c r="Z15" s="30"/>
    </row>
    <row r="16" spans="1:27" ht="24.75" customHeight="1">
      <c r="A16" s="28">
        <v>14</v>
      </c>
      <c r="B16" s="26" t="s">
        <v>42</v>
      </c>
      <c r="C16" s="27">
        <v>1000</v>
      </c>
      <c r="D16" s="27"/>
      <c r="E16" s="26" t="s">
        <v>16</v>
      </c>
      <c r="F16" s="28" t="s">
        <v>17</v>
      </c>
      <c r="G16" s="29" t="s">
        <v>28</v>
      </c>
      <c r="H16" s="26"/>
      <c r="I16" s="26"/>
      <c r="J16" s="26"/>
      <c r="K16" s="26"/>
      <c r="L16" s="26"/>
      <c r="M16" s="26"/>
      <c r="N16" s="26"/>
      <c r="O16" s="26"/>
      <c r="P16" s="26"/>
      <c r="Q16" s="26"/>
      <c r="R16" s="26"/>
      <c r="S16" s="26"/>
      <c r="T16" s="30"/>
      <c r="U16" s="30"/>
      <c r="V16" s="30"/>
      <c r="W16" s="30"/>
      <c r="X16" s="30"/>
      <c r="Y16" s="30"/>
      <c r="Z16" s="30"/>
    </row>
    <row r="17" spans="1:27" ht="24.75" customHeight="1">
      <c r="A17" s="28">
        <v>15</v>
      </c>
      <c r="B17" s="26" t="s">
        <v>43</v>
      </c>
      <c r="C17" s="27">
        <v>500</v>
      </c>
      <c r="D17" s="27"/>
      <c r="E17" s="26" t="s">
        <v>16</v>
      </c>
      <c r="F17" s="28" t="s">
        <v>17</v>
      </c>
      <c r="G17" s="29" t="s">
        <v>28</v>
      </c>
      <c r="H17" s="26"/>
      <c r="I17" s="26"/>
      <c r="J17" s="26"/>
      <c r="K17" s="26"/>
      <c r="L17" s="26"/>
      <c r="M17" s="26"/>
      <c r="N17" s="26"/>
      <c r="O17" s="26"/>
      <c r="P17" s="26"/>
      <c r="Q17" s="26"/>
      <c r="R17" s="26"/>
      <c r="S17" s="26"/>
      <c r="T17" s="30"/>
      <c r="U17" s="30"/>
      <c r="V17" s="30"/>
      <c r="W17" s="30"/>
      <c r="X17" s="30"/>
      <c r="Y17" s="30"/>
      <c r="Z17" s="30"/>
    </row>
    <row r="18" spans="1:27" ht="24.75" customHeight="1">
      <c r="A18" s="28">
        <v>16</v>
      </c>
      <c r="B18" s="26" t="s">
        <v>44</v>
      </c>
      <c r="C18" s="27">
        <v>500</v>
      </c>
      <c r="D18" s="27"/>
      <c r="E18" s="26" t="s">
        <v>16</v>
      </c>
      <c r="F18" s="28" t="s">
        <v>17</v>
      </c>
      <c r="G18" s="29" t="s">
        <v>28</v>
      </c>
      <c r="H18" s="26"/>
      <c r="I18" s="26"/>
      <c r="J18" s="26"/>
      <c r="K18" s="26"/>
      <c r="L18" s="26"/>
      <c r="M18" s="26"/>
      <c r="N18" s="26"/>
      <c r="O18" s="26"/>
      <c r="P18" s="26"/>
      <c r="Q18" s="26"/>
      <c r="R18" s="26"/>
      <c r="S18" s="26"/>
      <c r="T18" s="30"/>
      <c r="U18" s="30"/>
      <c r="V18" s="30"/>
      <c r="W18" s="30"/>
      <c r="X18" s="30"/>
      <c r="Y18" s="30"/>
      <c r="Z18" s="30"/>
    </row>
    <row r="19" spans="1:27" ht="24.75" customHeight="1">
      <c r="A19" s="32">
        <v>17</v>
      </c>
      <c r="B19" s="16" t="s">
        <v>45</v>
      </c>
      <c r="C19" s="16">
        <v>400</v>
      </c>
      <c r="D19" s="17" t="s">
        <v>46</v>
      </c>
      <c r="E19" s="16" t="s">
        <v>21</v>
      </c>
      <c r="F19" s="32">
        <v>75</v>
      </c>
      <c r="G19" s="18" t="s">
        <v>22</v>
      </c>
      <c r="H19" s="16">
        <v>4500</v>
      </c>
      <c r="I19" s="16" t="s">
        <v>47</v>
      </c>
      <c r="J19" s="15"/>
      <c r="K19" s="15"/>
      <c r="L19" s="15"/>
      <c r="M19" s="15"/>
      <c r="N19" s="15"/>
      <c r="O19" s="15"/>
      <c r="P19" s="15"/>
      <c r="Q19" s="15"/>
      <c r="R19" s="15"/>
      <c r="S19" s="15"/>
      <c r="T19" s="19"/>
      <c r="U19" s="19"/>
      <c r="V19" s="19"/>
      <c r="W19" s="19"/>
      <c r="X19" s="19"/>
      <c r="Y19" s="19"/>
      <c r="Z19" s="19"/>
    </row>
    <row r="20" spans="1:27" ht="24.75" customHeight="1">
      <c r="A20" s="32">
        <v>18</v>
      </c>
      <c r="B20" s="16" t="s">
        <v>48</v>
      </c>
      <c r="C20" s="16">
        <v>1000</v>
      </c>
      <c r="D20" s="17" t="s">
        <v>46</v>
      </c>
      <c r="E20" s="16" t="s">
        <v>21</v>
      </c>
      <c r="F20" s="14"/>
      <c r="G20" s="21"/>
      <c r="H20" s="15"/>
      <c r="I20" s="15"/>
      <c r="J20" s="15"/>
      <c r="K20" s="15"/>
      <c r="L20" s="15"/>
      <c r="M20" s="15"/>
      <c r="N20" s="15"/>
      <c r="O20" s="15"/>
      <c r="P20" s="15"/>
      <c r="Q20" s="15"/>
      <c r="R20" s="15"/>
      <c r="S20" s="15"/>
      <c r="T20" s="19"/>
      <c r="U20" s="19"/>
      <c r="V20" s="19"/>
      <c r="W20" s="19"/>
      <c r="X20" s="19"/>
      <c r="Y20" s="19"/>
      <c r="Z20" s="19"/>
    </row>
    <row r="21" spans="1:27" ht="24.75" customHeight="1">
      <c r="A21" s="32">
        <v>19</v>
      </c>
      <c r="B21" s="16" t="s">
        <v>49</v>
      </c>
      <c r="C21" s="16">
        <v>2000</v>
      </c>
      <c r="D21" s="17" t="s">
        <v>46</v>
      </c>
      <c r="E21" s="16" t="s">
        <v>21</v>
      </c>
      <c r="F21" s="14"/>
      <c r="G21" s="21"/>
      <c r="H21" s="15"/>
      <c r="I21" s="15"/>
      <c r="J21" s="15"/>
      <c r="K21" s="15"/>
      <c r="L21" s="15"/>
      <c r="M21" s="15"/>
      <c r="N21" s="15"/>
      <c r="O21" s="15"/>
      <c r="P21" s="15"/>
      <c r="Q21" s="15"/>
      <c r="R21" s="15"/>
      <c r="S21" s="15"/>
      <c r="T21" s="19"/>
      <c r="U21" s="19"/>
      <c r="V21" s="19"/>
      <c r="W21" s="19"/>
      <c r="X21" s="19"/>
      <c r="Y21" s="19"/>
      <c r="Z21" s="19"/>
    </row>
    <row r="22" spans="1:27" ht="24.75" customHeight="1">
      <c r="A22" s="14"/>
      <c r="B22" s="15"/>
      <c r="C22" s="15"/>
      <c r="D22" s="15"/>
      <c r="E22" s="15"/>
      <c r="F22" s="14"/>
      <c r="G22" s="21"/>
      <c r="H22" s="15"/>
      <c r="I22" s="15"/>
      <c r="J22" s="15"/>
      <c r="K22" s="15"/>
      <c r="L22" s="15"/>
      <c r="M22" s="15"/>
      <c r="N22" s="15"/>
      <c r="O22" s="15"/>
      <c r="P22" s="15"/>
      <c r="Q22" s="15"/>
      <c r="R22" s="15"/>
      <c r="S22" s="15"/>
      <c r="T22" s="19"/>
      <c r="U22" s="19"/>
      <c r="V22" s="19"/>
      <c r="W22" s="19"/>
      <c r="X22" s="19"/>
      <c r="Y22" s="19"/>
      <c r="Z22" s="19"/>
    </row>
    <row r="23" spans="1:27" ht="24.75" customHeight="1">
      <c r="A23" s="7"/>
      <c r="B23" s="9" t="s">
        <v>50</v>
      </c>
      <c r="C23" s="9"/>
      <c r="D23" s="9"/>
      <c r="E23" s="10"/>
      <c r="F23" s="7"/>
      <c r="G23" s="11"/>
      <c r="H23" s="10"/>
      <c r="I23" s="10"/>
      <c r="J23" s="10"/>
      <c r="K23" s="10"/>
      <c r="L23" s="10"/>
      <c r="M23" s="10"/>
      <c r="N23" s="10"/>
      <c r="O23" s="10"/>
      <c r="P23" s="10"/>
      <c r="Q23" s="10"/>
      <c r="R23" s="10"/>
      <c r="S23" s="10"/>
      <c r="T23" s="12"/>
      <c r="U23" s="12"/>
      <c r="V23" s="12"/>
      <c r="W23" s="12"/>
      <c r="X23" s="12"/>
      <c r="Y23" s="12"/>
      <c r="Z23" s="12"/>
      <c r="AA23" s="13"/>
    </row>
    <row r="24" spans="1:27" ht="24.75" customHeight="1">
      <c r="A24" s="14">
        <v>17</v>
      </c>
      <c r="B24" s="15" t="s">
        <v>51</v>
      </c>
      <c r="C24" s="16">
        <v>800</v>
      </c>
      <c r="D24" s="17" t="s">
        <v>52</v>
      </c>
      <c r="E24" s="15" t="s">
        <v>34</v>
      </c>
      <c r="F24" s="14" t="s">
        <v>17</v>
      </c>
      <c r="G24" s="21" t="s">
        <v>22</v>
      </c>
      <c r="H24" s="15"/>
      <c r="I24" s="15" t="s">
        <v>53</v>
      </c>
      <c r="J24" s="15" t="s">
        <v>54</v>
      </c>
      <c r="K24" s="15"/>
      <c r="L24" s="15"/>
      <c r="M24" s="15"/>
      <c r="N24" s="15"/>
      <c r="O24" s="15"/>
      <c r="P24" s="15"/>
      <c r="Q24" s="15"/>
      <c r="R24" s="15"/>
      <c r="S24" s="15"/>
      <c r="T24" s="19"/>
      <c r="U24" s="19"/>
      <c r="V24" s="19"/>
      <c r="W24" s="19"/>
      <c r="X24" s="19"/>
      <c r="Y24" s="19"/>
      <c r="Z24" s="19"/>
    </row>
    <row r="25" spans="1:27" ht="24.75" customHeight="1">
      <c r="A25" s="14"/>
      <c r="B25" s="15" t="s">
        <v>55</v>
      </c>
      <c r="C25" s="16">
        <v>1500</v>
      </c>
      <c r="D25" s="17" t="s">
        <v>52</v>
      </c>
      <c r="E25" s="15" t="s">
        <v>34</v>
      </c>
      <c r="F25" s="14" t="s">
        <v>17</v>
      </c>
      <c r="G25" s="21" t="s">
        <v>28</v>
      </c>
      <c r="H25" s="15"/>
      <c r="I25" s="15" t="s">
        <v>53</v>
      </c>
      <c r="J25" s="15" t="s">
        <v>54</v>
      </c>
      <c r="K25" s="15"/>
      <c r="L25" s="15"/>
      <c r="M25" s="15"/>
      <c r="N25" s="15"/>
      <c r="O25" s="15"/>
      <c r="P25" s="15"/>
      <c r="Q25" s="15"/>
      <c r="R25" s="15"/>
      <c r="S25" s="15"/>
      <c r="T25" s="19"/>
      <c r="U25" s="19"/>
      <c r="V25" s="19"/>
      <c r="W25" s="19"/>
      <c r="X25" s="19"/>
      <c r="Y25" s="19"/>
      <c r="Z25" s="19"/>
    </row>
    <row r="26" spans="1:27" ht="24.75" customHeight="1">
      <c r="A26" s="14"/>
      <c r="B26" s="15" t="s">
        <v>56</v>
      </c>
      <c r="C26" s="16">
        <v>2500</v>
      </c>
      <c r="D26" s="17" t="s">
        <v>52</v>
      </c>
      <c r="E26" s="15"/>
      <c r="F26" s="14"/>
      <c r="G26" s="21"/>
      <c r="H26" s="15"/>
      <c r="I26" s="15" t="s">
        <v>53</v>
      </c>
      <c r="J26" s="15" t="s">
        <v>54</v>
      </c>
      <c r="K26" s="15"/>
      <c r="L26" s="15"/>
      <c r="M26" s="15"/>
      <c r="N26" s="15"/>
      <c r="O26" s="15"/>
      <c r="P26" s="15"/>
      <c r="Q26" s="15"/>
      <c r="R26" s="15"/>
      <c r="S26" s="15"/>
      <c r="T26" s="19"/>
      <c r="U26" s="19"/>
      <c r="V26" s="19"/>
      <c r="W26" s="19"/>
      <c r="X26" s="19"/>
      <c r="Y26" s="19"/>
      <c r="Z26" s="19"/>
    </row>
    <row r="27" spans="1:27" ht="24.75" customHeight="1">
      <c r="A27" s="28">
        <v>19</v>
      </c>
      <c r="B27" s="26" t="s">
        <v>57</v>
      </c>
      <c r="C27" s="16">
        <v>800</v>
      </c>
      <c r="D27" s="17" t="s">
        <v>52</v>
      </c>
      <c r="E27" s="26" t="s">
        <v>34</v>
      </c>
      <c r="F27" s="28" t="s">
        <v>17</v>
      </c>
      <c r="G27" s="29" t="s">
        <v>58</v>
      </c>
      <c r="H27" s="26"/>
      <c r="I27" s="15" t="s">
        <v>53</v>
      </c>
      <c r="J27" s="15" t="s">
        <v>54</v>
      </c>
      <c r="K27" s="26"/>
      <c r="L27" s="26"/>
      <c r="M27" s="26"/>
      <c r="N27" s="26"/>
      <c r="O27" s="26"/>
      <c r="P27" s="26"/>
      <c r="Q27" s="26"/>
      <c r="R27" s="26"/>
      <c r="S27" s="26"/>
      <c r="T27" s="30"/>
      <c r="U27" s="30"/>
      <c r="V27" s="30"/>
      <c r="W27" s="30"/>
      <c r="X27" s="30"/>
      <c r="Y27" s="30"/>
      <c r="Z27" s="30"/>
    </row>
    <row r="28" spans="1:27" ht="24.75" customHeight="1">
      <c r="A28" s="28"/>
      <c r="B28" s="26" t="s">
        <v>59</v>
      </c>
      <c r="C28" s="16">
        <v>1500</v>
      </c>
      <c r="D28" s="17" t="s">
        <v>52</v>
      </c>
      <c r="E28" s="26"/>
      <c r="F28" s="28"/>
      <c r="G28" s="29"/>
      <c r="H28" s="26"/>
      <c r="I28" s="15" t="s">
        <v>53</v>
      </c>
      <c r="J28" s="15" t="s">
        <v>54</v>
      </c>
      <c r="K28" s="26"/>
      <c r="L28" s="26"/>
      <c r="M28" s="26"/>
      <c r="N28" s="26"/>
      <c r="O28" s="26"/>
      <c r="P28" s="26"/>
      <c r="Q28" s="26"/>
      <c r="R28" s="26"/>
      <c r="S28" s="26"/>
      <c r="T28" s="30"/>
      <c r="U28" s="30"/>
      <c r="V28" s="30"/>
      <c r="W28" s="30"/>
      <c r="X28" s="30"/>
      <c r="Y28" s="30"/>
      <c r="Z28" s="30"/>
    </row>
    <row r="29" spans="1:27" ht="24.75" customHeight="1">
      <c r="A29" s="28"/>
      <c r="B29" s="26" t="s">
        <v>60</v>
      </c>
      <c r="C29" s="16">
        <v>2500</v>
      </c>
      <c r="D29" s="17" t="s">
        <v>52</v>
      </c>
      <c r="E29" s="26"/>
      <c r="F29" s="28"/>
      <c r="G29" s="29"/>
      <c r="H29" s="26"/>
      <c r="I29" s="15" t="s">
        <v>53</v>
      </c>
      <c r="J29" s="15" t="s">
        <v>54</v>
      </c>
      <c r="K29" s="26"/>
      <c r="L29" s="26"/>
      <c r="M29" s="26"/>
      <c r="N29" s="26"/>
      <c r="O29" s="26"/>
      <c r="P29" s="26"/>
      <c r="Q29" s="26"/>
      <c r="R29" s="26"/>
      <c r="S29" s="26"/>
      <c r="T29" s="30"/>
      <c r="U29" s="30"/>
      <c r="V29" s="30"/>
      <c r="W29" s="30"/>
      <c r="X29" s="30"/>
      <c r="Y29" s="30"/>
      <c r="Z29" s="30"/>
    </row>
    <row r="30" spans="1:27" ht="24.75" customHeight="1">
      <c r="A30" s="28">
        <v>20</v>
      </c>
      <c r="B30" s="26" t="s">
        <v>61</v>
      </c>
      <c r="C30" s="27">
        <v>1500</v>
      </c>
      <c r="D30" s="27"/>
      <c r="E30" s="26" t="s">
        <v>62</v>
      </c>
      <c r="F30" s="28" t="s">
        <v>17</v>
      </c>
      <c r="G30" s="29" t="s">
        <v>22</v>
      </c>
      <c r="H30" s="26"/>
      <c r="I30" s="26"/>
      <c r="J30" s="26"/>
      <c r="K30" s="26"/>
      <c r="L30" s="26"/>
      <c r="M30" s="26"/>
      <c r="N30" s="26"/>
      <c r="O30" s="26"/>
      <c r="P30" s="26"/>
      <c r="Q30" s="26"/>
      <c r="R30" s="26"/>
      <c r="S30" s="26"/>
      <c r="T30" s="30"/>
      <c r="U30" s="30"/>
      <c r="V30" s="30"/>
      <c r="W30" s="30"/>
      <c r="X30" s="30"/>
      <c r="Y30" s="30"/>
      <c r="Z30" s="30"/>
    </row>
    <row r="31" spans="1:27" ht="24.75" customHeight="1">
      <c r="A31" s="14">
        <v>21</v>
      </c>
      <c r="B31" s="15" t="s">
        <v>63</v>
      </c>
      <c r="C31" s="16">
        <v>120</v>
      </c>
      <c r="D31" s="16"/>
      <c r="E31" s="15" t="s">
        <v>16</v>
      </c>
      <c r="F31" s="14">
        <v>108</v>
      </c>
      <c r="G31" s="21" t="s">
        <v>22</v>
      </c>
      <c r="H31" s="15"/>
      <c r="I31" s="15"/>
      <c r="J31" s="15"/>
      <c r="K31" s="15"/>
      <c r="L31" s="15"/>
      <c r="M31" s="15"/>
      <c r="N31" s="15"/>
      <c r="O31" s="15"/>
      <c r="P31" s="15"/>
      <c r="Q31" s="15"/>
      <c r="R31" s="15"/>
      <c r="S31" s="15"/>
      <c r="T31" s="19"/>
      <c r="U31" s="19"/>
      <c r="V31" s="19"/>
      <c r="W31" s="19"/>
      <c r="X31" s="19"/>
      <c r="Y31" s="19"/>
      <c r="Z31" s="19"/>
    </row>
    <row r="32" spans="1:27" ht="24.75" customHeight="1">
      <c r="A32" s="14">
        <v>22</v>
      </c>
      <c r="B32" s="15" t="s">
        <v>64</v>
      </c>
      <c r="C32" s="16">
        <v>120</v>
      </c>
      <c r="D32" s="16"/>
      <c r="E32" s="15" t="s">
        <v>16</v>
      </c>
      <c r="F32" s="14">
        <v>65</v>
      </c>
      <c r="G32" s="21" t="s">
        <v>22</v>
      </c>
      <c r="H32" s="15"/>
      <c r="I32" s="15"/>
      <c r="J32" s="15"/>
      <c r="K32" s="15"/>
      <c r="L32" s="15"/>
      <c r="M32" s="15"/>
      <c r="N32" s="15"/>
      <c r="O32" s="15"/>
      <c r="P32" s="15"/>
      <c r="Q32" s="15"/>
      <c r="R32" s="15"/>
      <c r="S32" s="15"/>
      <c r="T32" s="19"/>
      <c r="U32" s="19"/>
      <c r="V32" s="19"/>
      <c r="W32" s="19"/>
      <c r="X32" s="19"/>
      <c r="Y32" s="19"/>
      <c r="Z32" s="19"/>
    </row>
    <row r="33" spans="1:27" ht="24.75" customHeight="1">
      <c r="A33" s="14"/>
      <c r="B33" s="15"/>
      <c r="C33" s="15"/>
      <c r="D33" s="15"/>
      <c r="E33" s="15"/>
      <c r="F33" s="14"/>
      <c r="G33" s="21"/>
      <c r="H33" s="15"/>
      <c r="I33" s="15"/>
      <c r="J33" s="15"/>
      <c r="K33" s="15"/>
      <c r="L33" s="15"/>
      <c r="M33" s="15"/>
      <c r="N33" s="15"/>
      <c r="O33" s="15"/>
      <c r="P33" s="15"/>
      <c r="Q33" s="15"/>
      <c r="R33" s="15"/>
      <c r="S33" s="15"/>
      <c r="T33" s="19"/>
      <c r="U33" s="19"/>
      <c r="V33" s="19"/>
      <c r="W33" s="19"/>
      <c r="X33" s="19"/>
      <c r="Y33" s="19"/>
      <c r="Z33" s="19"/>
    </row>
    <row r="34" spans="1:27" ht="24.75" customHeight="1">
      <c r="A34" s="7"/>
      <c r="B34" s="8" t="s">
        <v>65</v>
      </c>
      <c r="C34" s="9"/>
      <c r="D34" s="9"/>
      <c r="E34" s="10"/>
      <c r="F34" s="7"/>
      <c r="G34" s="11"/>
      <c r="H34" s="10"/>
      <c r="I34" s="10"/>
      <c r="J34" s="10"/>
      <c r="K34" s="10"/>
      <c r="L34" s="10"/>
      <c r="M34" s="10"/>
      <c r="N34" s="10"/>
      <c r="O34" s="10"/>
      <c r="P34" s="10"/>
      <c r="Q34" s="10"/>
      <c r="R34" s="10"/>
      <c r="S34" s="10"/>
      <c r="T34" s="12"/>
      <c r="U34" s="12"/>
      <c r="V34" s="12"/>
      <c r="W34" s="12"/>
      <c r="X34" s="12"/>
      <c r="Y34" s="12"/>
      <c r="Z34" s="12"/>
      <c r="AA34" s="13"/>
    </row>
    <row r="35" spans="1:27" ht="24.75" customHeight="1">
      <c r="A35" s="33">
        <v>23</v>
      </c>
      <c r="B35" s="16" t="s">
        <v>66</v>
      </c>
      <c r="C35" s="16">
        <v>1000</v>
      </c>
      <c r="D35" s="17" t="s">
        <v>67</v>
      </c>
      <c r="E35" s="15" t="s">
        <v>16</v>
      </c>
      <c r="F35" s="14" t="s">
        <v>68</v>
      </c>
      <c r="G35" s="21" t="s">
        <v>69</v>
      </c>
      <c r="H35" s="15"/>
      <c r="I35" s="34"/>
      <c r="J35" s="34"/>
      <c r="K35" s="34"/>
      <c r="L35" s="34"/>
      <c r="M35" s="34"/>
      <c r="N35" s="34"/>
      <c r="O35" s="34"/>
      <c r="P35" s="34"/>
      <c r="Q35" s="34"/>
      <c r="R35" s="34"/>
      <c r="S35" s="34"/>
      <c r="T35" s="35"/>
      <c r="U35" s="35"/>
      <c r="V35" s="35"/>
      <c r="W35" s="35"/>
      <c r="X35" s="35"/>
      <c r="Y35" s="35"/>
      <c r="Z35" s="35"/>
    </row>
    <row r="36" spans="1:27" ht="24.75" customHeight="1">
      <c r="A36" s="33">
        <v>25</v>
      </c>
      <c r="B36" s="15" t="s">
        <v>70</v>
      </c>
      <c r="C36" s="16">
        <v>400</v>
      </c>
      <c r="D36" s="16"/>
      <c r="E36" s="15" t="s">
        <v>16</v>
      </c>
      <c r="F36" s="14" t="s">
        <v>17</v>
      </c>
      <c r="G36" s="21" t="s">
        <v>71</v>
      </c>
      <c r="H36" s="15"/>
      <c r="I36" s="15"/>
      <c r="J36" s="15"/>
      <c r="K36" s="15"/>
      <c r="L36" s="15"/>
      <c r="M36" s="15"/>
      <c r="N36" s="15"/>
      <c r="O36" s="15"/>
      <c r="P36" s="15"/>
      <c r="Q36" s="15"/>
      <c r="R36" s="15"/>
      <c r="S36" s="15"/>
      <c r="T36" s="19"/>
      <c r="U36" s="19"/>
      <c r="V36" s="19"/>
      <c r="W36" s="19"/>
      <c r="X36" s="19"/>
      <c r="Y36" s="19"/>
      <c r="Z36" s="19"/>
    </row>
    <row r="37" spans="1:27" ht="24.75" customHeight="1">
      <c r="A37" s="33">
        <v>26</v>
      </c>
      <c r="B37" s="36" t="s">
        <v>72</v>
      </c>
      <c r="C37" s="15"/>
      <c r="D37" s="15"/>
      <c r="E37" s="15" t="s">
        <v>16</v>
      </c>
      <c r="F37" s="14" t="s">
        <v>17</v>
      </c>
      <c r="G37" s="21" t="s">
        <v>71</v>
      </c>
      <c r="H37" s="15"/>
      <c r="I37" s="15"/>
      <c r="J37" s="15"/>
      <c r="K37" s="15"/>
      <c r="L37" s="15"/>
      <c r="M37" s="15"/>
      <c r="N37" s="15"/>
      <c r="O37" s="15"/>
      <c r="P37" s="15"/>
      <c r="Q37" s="15"/>
      <c r="R37" s="15"/>
      <c r="S37" s="15"/>
      <c r="T37" s="19"/>
      <c r="U37" s="19"/>
      <c r="V37" s="19"/>
      <c r="W37" s="19"/>
      <c r="X37" s="19"/>
      <c r="Y37" s="19"/>
      <c r="Z37" s="19"/>
    </row>
    <row r="38" spans="1:27" ht="24.75" customHeight="1">
      <c r="A38" s="33">
        <v>27</v>
      </c>
      <c r="B38" s="15" t="s">
        <v>73</v>
      </c>
      <c r="C38" s="16">
        <v>8000</v>
      </c>
      <c r="D38" s="17" t="s">
        <v>74</v>
      </c>
      <c r="E38" s="15" t="s">
        <v>16</v>
      </c>
      <c r="F38" s="14" t="s">
        <v>68</v>
      </c>
      <c r="G38" s="21" t="s">
        <v>75</v>
      </c>
      <c r="H38" s="15"/>
      <c r="I38" s="15"/>
      <c r="J38" s="15"/>
      <c r="K38" s="15"/>
      <c r="L38" s="15"/>
      <c r="M38" s="15"/>
      <c r="N38" s="15"/>
      <c r="O38" s="15"/>
      <c r="P38" s="15"/>
      <c r="Q38" s="15"/>
      <c r="R38" s="15"/>
      <c r="S38" s="15"/>
      <c r="T38" s="19"/>
      <c r="U38" s="19"/>
      <c r="V38" s="19"/>
      <c r="W38" s="19"/>
      <c r="X38" s="19"/>
      <c r="Y38" s="19"/>
      <c r="Z38" s="19"/>
    </row>
    <row r="39" spans="1:27" ht="24.75" customHeight="1">
      <c r="A39" s="33">
        <v>28</v>
      </c>
      <c r="B39" s="15" t="s">
        <v>76</v>
      </c>
      <c r="C39" s="41">
        <v>8000</v>
      </c>
      <c r="D39" s="17" t="s">
        <v>74</v>
      </c>
      <c r="E39" s="15" t="s">
        <v>16</v>
      </c>
      <c r="F39" s="14" t="s">
        <v>68</v>
      </c>
      <c r="G39" s="21" t="s">
        <v>75</v>
      </c>
      <c r="H39" s="15"/>
      <c r="I39" s="15"/>
      <c r="J39" s="15"/>
      <c r="K39" s="15"/>
      <c r="L39" s="15"/>
      <c r="M39" s="15"/>
      <c r="N39" s="15"/>
      <c r="O39" s="15"/>
      <c r="P39" s="15"/>
      <c r="Q39" s="15"/>
      <c r="R39" s="15"/>
      <c r="S39" s="15"/>
      <c r="T39" s="19"/>
      <c r="U39" s="19"/>
      <c r="V39" s="19"/>
      <c r="W39" s="19"/>
      <c r="X39" s="19"/>
      <c r="Y39" s="19"/>
      <c r="Z39" s="19"/>
    </row>
    <row r="40" spans="1:27" ht="24.75" customHeight="1">
      <c r="A40" s="33">
        <v>29</v>
      </c>
      <c r="B40" s="26" t="s">
        <v>77</v>
      </c>
      <c r="C40" s="16">
        <v>18000</v>
      </c>
      <c r="D40" s="17" t="s">
        <v>78</v>
      </c>
      <c r="E40" s="26" t="s">
        <v>16</v>
      </c>
      <c r="F40" s="28" t="s">
        <v>68</v>
      </c>
      <c r="G40" s="29" t="s">
        <v>75</v>
      </c>
      <c r="H40" s="26"/>
      <c r="I40" s="26"/>
      <c r="J40" s="26"/>
      <c r="K40" s="26"/>
      <c r="L40" s="26"/>
      <c r="M40" s="26"/>
      <c r="N40" s="26"/>
      <c r="O40" s="26"/>
      <c r="P40" s="26"/>
      <c r="Q40" s="26"/>
      <c r="R40" s="26"/>
      <c r="S40" s="26"/>
      <c r="T40" s="30"/>
      <c r="U40" s="30"/>
      <c r="V40" s="30"/>
      <c r="W40" s="30"/>
      <c r="X40" s="30"/>
      <c r="Y40" s="30"/>
      <c r="Z40" s="30"/>
    </row>
    <row r="41" spans="1:27" ht="24.75" customHeight="1">
      <c r="A41" s="33">
        <v>30</v>
      </c>
      <c r="B41" s="15" t="s">
        <v>79</v>
      </c>
      <c r="C41" s="41">
        <v>8000</v>
      </c>
      <c r="D41" s="17" t="s">
        <v>80</v>
      </c>
      <c r="E41" s="15" t="s">
        <v>16</v>
      </c>
      <c r="F41" s="14" t="s">
        <v>68</v>
      </c>
      <c r="G41" s="21" t="s">
        <v>75</v>
      </c>
      <c r="H41" s="15"/>
      <c r="I41" s="15"/>
      <c r="J41" s="15"/>
      <c r="K41" s="15"/>
      <c r="L41" s="15"/>
      <c r="M41" s="15"/>
      <c r="N41" s="15"/>
      <c r="O41" s="15"/>
      <c r="P41" s="15"/>
      <c r="Q41" s="15"/>
      <c r="R41" s="15"/>
      <c r="S41" s="15"/>
      <c r="T41" s="19"/>
      <c r="U41" s="19"/>
      <c r="V41" s="19"/>
      <c r="W41" s="19"/>
      <c r="X41" s="19"/>
      <c r="Y41" s="19"/>
      <c r="Z41" s="19"/>
    </row>
    <row r="42" spans="1:27" ht="24.75" customHeight="1">
      <c r="A42" s="33">
        <v>31</v>
      </c>
      <c r="B42" s="15" t="s">
        <v>81</v>
      </c>
      <c r="C42" s="16">
        <v>200</v>
      </c>
      <c r="D42" s="17" t="s">
        <v>82</v>
      </c>
      <c r="E42" s="15" t="s">
        <v>16</v>
      </c>
      <c r="F42" s="14" t="s">
        <v>17</v>
      </c>
      <c r="G42" s="21" t="s">
        <v>28</v>
      </c>
      <c r="H42" s="15"/>
      <c r="I42" s="15"/>
      <c r="J42" s="15"/>
      <c r="K42" s="15"/>
      <c r="L42" s="15"/>
      <c r="M42" s="15"/>
      <c r="N42" s="15"/>
      <c r="O42" s="15"/>
      <c r="P42" s="15"/>
      <c r="Q42" s="15"/>
      <c r="R42" s="15"/>
      <c r="S42" s="15"/>
      <c r="T42" s="19"/>
      <c r="U42" s="19"/>
      <c r="V42" s="19"/>
      <c r="W42" s="19"/>
      <c r="X42" s="19"/>
      <c r="Y42" s="19"/>
      <c r="Z42" s="19"/>
    </row>
    <row r="43" spans="1:27" ht="24.75" customHeight="1">
      <c r="A43" s="33">
        <v>32</v>
      </c>
      <c r="B43" s="15" t="s">
        <v>83</v>
      </c>
      <c r="C43" s="16">
        <v>25000</v>
      </c>
      <c r="D43" s="17" t="s">
        <v>84</v>
      </c>
      <c r="E43" s="15" t="s">
        <v>16</v>
      </c>
      <c r="F43" s="14" t="s">
        <v>68</v>
      </c>
      <c r="G43" s="21" t="s">
        <v>85</v>
      </c>
      <c r="H43" s="15"/>
      <c r="I43" s="15"/>
      <c r="J43" s="15"/>
      <c r="K43" s="15"/>
      <c r="L43" s="15"/>
      <c r="M43" s="15"/>
      <c r="N43" s="15"/>
      <c r="O43" s="15"/>
      <c r="P43" s="15"/>
      <c r="Q43" s="15"/>
      <c r="R43" s="15"/>
      <c r="S43" s="15"/>
      <c r="T43" s="19"/>
      <c r="U43" s="19"/>
      <c r="V43" s="19"/>
      <c r="W43" s="19"/>
      <c r="X43" s="19"/>
      <c r="Y43" s="19"/>
      <c r="Z43" s="19"/>
    </row>
    <row r="44" spans="1:27" ht="24.75" customHeight="1">
      <c r="A44" s="33"/>
      <c r="B44" s="37" t="s">
        <v>86</v>
      </c>
      <c r="C44" s="16">
        <v>20000</v>
      </c>
      <c r="D44" s="37"/>
      <c r="E44" s="15"/>
      <c r="F44" s="14"/>
      <c r="G44" s="21"/>
      <c r="H44" s="15"/>
      <c r="I44" s="15"/>
      <c r="J44" s="15"/>
      <c r="K44" s="15"/>
      <c r="L44" s="15"/>
      <c r="M44" s="15"/>
      <c r="N44" s="15"/>
      <c r="O44" s="15"/>
      <c r="P44" s="15"/>
      <c r="Q44" s="15"/>
      <c r="R44" s="15"/>
      <c r="S44" s="15"/>
      <c r="T44" s="19"/>
      <c r="U44" s="19"/>
      <c r="V44" s="19"/>
      <c r="W44" s="19"/>
      <c r="X44" s="19"/>
      <c r="Y44" s="19"/>
      <c r="Z44" s="19"/>
    </row>
    <row r="45" spans="1:27" ht="24.75" customHeight="1">
      <c r="A45" s="33"/>
      <c r="B45" s="37" t="s">
        <v>87</v>
      </c>
      <c r="C45" s="16">
        <v>20000</v>
      </c>
      <c r="D45" s="38" t="s">
        <v>88</v>
      </c>
      <c r="E45" s="15"/>
      <c r="F45" s="14"/>
      <c r="G45" s="21"/>
      <c r="H45" s="15"/>
      <c r="I45" s="15"/>
      <c r="J45" s="15"/>
      <c r="K45" s="15"/>
      <c r="L45" s="15"/>
      <c r="M45" s="15"/>
      <c r="N45" s="15"/>
      <c r="O45" s="15"/>
      <c r="P45" s="15"/>
      <c r="Q45" s="15"/>
      <c r="R45" s="15"/>
      <c r="S45" s="15"/>
      <c r="T45" s="19"/>
      <c r="U45" s="19"/>
      <c r="V45" s="19"/>
      <c r="W45" s="19"/>
      <c r="X45" s="19"/>
      <c r="Y45" s="19"/>
      <c r="Z45" s="19"/>
    </row>
    <row r="46" spans="1:27" ht="24.75" customHeight="1">
      <c r="A46" s="33"/>
      <c r="B46" s="37" t="s">
        <v>89</v>
      </c>
      <c r="C46" s="16">
        <v>20000</v>
      </c>
      <c r="D46" s="38" t="s">
        <v>90</v>
      </c>
      <c r="E46" s="15"/>
      <c r="F46" s="14"/>
      <c r="G46" s="21"/>
      <c r="H46" s="15"/>
      <c r="I46" s="15"/>
      <c r="J46" s="15"/>
      <c r="K46" s="15"/>
      <c r="L46" s="15"/>
      <c r="M46" s="15"/>
      <c r="N46" s="15"/>
      <c r="O46" s="15"/>
      <c r="P46" s="15"/>
      <c r="Q46" s="15"/>
      <c r="R46" s="15"/>
      <c r="S46" s="15"/>
      <c r="T46" s="19"/>
      <c r="U46" s="19"/>
      <c r="V46" s="19"/>
      <c r="W46" s="19"/>
      <c r="X46" s="19"/>
      <c r="Y46" s="19"/>
      <c r="Z46" s="19"/>
    </row>
    <row r="47" spans="1:27" ht="24.75" customHeight="1">
      <c r="A47" s="33">
        <v>33</v>
      </c>
      <c r="B47" s="19" t="s">
        <v>91</v>
      </c>
      <c r="C47" s="37">
        <v>8000</v>
      </c>
      <c r="D47" s="38" t="s">
        <v>92</v>
      </c>
      <c r="E47" s="15" t="s">
        <v>16</v>
      </c>
      <c r="F47" s="14" t="s">
        <v>68</v>
      </c>
      <c r="G47" s="21" t="s">
        <v>85</v>
      </c>
      <c r="H47" s="15"/>
      <c r="I47" s="15"/>
      <c r="J47" s="15"/>
      <c r="K47" s="15"/>
      <c r="L47" s="15"/>
      <c r="M47" s="15"/>
      <c r="N47" s="15"/>
      <c r="O47" s="15"/>
      <c r="P47" s="15"/>
      <c r="Q47" s="15"/>
      <c r="R47" s="15"/>
      <c r="S47" s="15"/>
      <c r="T47" s="19"/>
      <c r="U47" s="19"/>
      <c r="V47" s="19"/>
      <c r="W47" s="19"/>
      <c r="X47" s="19"/>
      <c r="Y47" s="19"/>
      <c r="Z47" s="19"/>
    </row>
    <row r="48" spans="1:27" ht="24.75" customHeight="1">
      <c r="A48" s="33">
        <v>34</v>
      </c>
      <c r="B48" s="39" t="s">
        <v>93</v>
      </c>
      <c r="C48" s="37">
        <v>1500</v>
      </c>
      <c r="D48" s="37"/>
      <c r="E48" s="15" t="s">
        <v>16</v>
      </c>
      <c r="F48" s="14" t="s">
        <v>17</v>
      </c>
      <c r="G48" s="21" t="s">
        <v>94</v>
      </c>
      <c r="H48" s="15"/>
      <c r="I48" s="15"/>
      <c r="J48" s="15"/>
      <c r="K48" s="15"/>
      <c r="L48" s="15"/>
      <c r="M48" s="15"/>
      <c r="N48" s="15"/>
      <c r="O48" s="15"/>
      <c r="P48" s="15"/>
      <c r="Q48" s="15"/>
      <c r="R48" s="15"/>
      <c r="S48" s="15"/>
      <c r="T48" s="19"/>
      <c r="U48" s="19"/>
      <c r="V48" s="19"/>
      <c r="W48" s="19"/>
      <c r="X48" s="19"/>
      <c r="Y48" s="19"/>
      <c r="Z48" s="19"/>
    </row>
    <row r="49" spans="1:27" ht="24.75" customHeight="1">
      <c r="A49" s="33">
        <v>35</v>
      </c>
      <c r="B49" s="39" t="s">
        <v>95</v>
      </c>
      <c r="C49" s="37">
        <v>1500</v>
      </c>
      <c r="D49" s="37"/>
      <c r="E49" s="15" t="s">
        <v>16</v>
      </c>
      <c r="F49" s="14" t="s">
        <v>17</v>
      </c>
      <c r="G49" s="21" t="s">
        <v>94</v>
      </c>
      <c r="H49" s="15"/>
      <c r="I49" s="15"/>
      <c r="J49" s="15"/>
      <c r="K49" s="15"/>
      <c r="L49" s="15"/>
      <c r="M49" s="15"/>
      <c r="N49" s="15"/>
      <c r="O49" s="15"/>
      <c r="P49" s="15"/>
      <c r="Q49" s="15"/>
      <c r="R49" s="15"/>
      <c r="S49" s="15"/>
      <c r="T49" s="19"/>
      <c r="U49" s="19"/>
      <c r="V49" s="19"/>
      <c r="W49" s="19"/>
      <c r="X49" s="19"/>
      <c r="Y49" s="19"/>
      <c r="Z49" s="19"/>
    </row>
    <row r="50" spans="1:27" ht="24.75" customHeight="1">
      <c r="A50" s="33">
        <v>36</v>
      </c>
      <c r="B50" s="15" t="s">
        <v>96</v>
      </c>
      <c r="C50" s="16">
        <v>800</v>
      </c>
      <c r="D50" s="17" t="s">
        <v>67</v>
      </c>
      <c r="E50" s="15" t="s">
        <v>16</v>
      </c>
      <c r="F50" s="14" t="s">
        <v>17</v>
      </c>
      <c r="G50" s="21" t="s">
        <v>28</v>
      </c>
      <c r="H50" s="15"/>
      <c r="I50" s="15"/>
      <c r="J50" s="15"/>
      <c r="K50" s="15"/>
      <c r="L50" s="15"/>
      <c r="M50" s="15"/>
      <c r="N50" s="15"/>
      <c r="O50" s="15"/>
      <c r="P50" s="15"/>
      <c r="Q50" s="15"/>
      <c r="R50" s="15"/>
      <c r="S50" s="15"/>
      <c r="T50" s="19"/>
      <c r="U50" s="19"/>
      <c r="V50" s="19"/>
      <c r="W50" s="19"/>
      <c r="X50" s="19"/>
      <c r="Y50" s="19"/>
      <c r="Z50" s="19"/>
    </row>
    <row r="51" spans="1:27" ht="24.75" customHeight="1">
      <c r="A51" s="33">
        <v>37</v>
      </c>
      <c r="B51" s="26" t="s">
        <v>97</v>
      </c>
      <c r="C51" s="27">
        <v>1500</v>
      </c>
      <c r="D51" s="27"/>
      <c r="E51" s="26" t="s">
        <v>16</v>
      </c>
      <c r="F51" s="28" t="s">
        <v>17</v>
      </c>
      <c r="G51" s="29" t="s">
        <v>28</v>
      </c>
      <c r="H51" s="26"/>
      <c r="I51" s="26"/>
      <c r="J51" s="26"/>
      <c r="K51" s="26"/>
      <c r="L51" s="26"/>
      <c r="M51" s="26"/>
      <c r="N51" s="26"/>
      <c r="O51" s="26"/>
      <c r="P51" s="26"/>
      <c r="Q51" s="26"/>
      <c r="R51" s="26"/>
      <c r="S51" s="26"/>
      <c r="T51" s="30"/>
      <c r="U51" s="30"/>
      <c r="V51" s="30"/>
      <c r="W51" s="30"/>
      <c r="X51" s="30"/>
      <c r="Y51" s="30"/>
      <c r="Z51" s="30"/>
    </row>
    <row r="52" spans="1:27" ht="24.75" customHeight="1">
      <c r="A52" s="14"/>
      <c r="B52" s="15"/>
      <c r="C52" s="15"/>
      <c r="D52" s="15"/>
      <c r="E52" s="15"/>
      <c r="F52" s="14"/>
      <c r="G52" s="21"/>
      <c r="H52" s="15"/>
      <c r="I52" s="15"/>
      <c r="J52" s="15"/>
      <c r="K52" s="15"/>
      <c r="L52" s="15"/>
      <c r="M52" s="15"/>
      <c r="N52" s="15"/>
      <c r="O52" s="15"/>
      <c r="P52" s="15"/>
      <c r="Q52" s="15"/>
      <c r="R52" s="15"/>
      <c r="S52" s="15"/>
      <c r="T52" s="19"/>
      <c r="U52" s="19"/>
      <c r="V52" s="19"/>
      <c r="W52" s="19"/>
      <c r="X52" s="19"/>
      <c r="Y52" s="19"/>
      <c r="Z52" s="19"/>
    </row>
    <row r="53" spans="1:27" ht="24.75" customHeight="1">
      <c r="A53" s="7"/>
      <c r="B53" s="9" t="s">
        <v>98</v>
      </c>
      <c r="C53" s="10"/>
      <c r="D53" s="10"/>
      <c r="E53" s="10"/>
      <c r="F53" s="7"/>
      <c r="G53" s="11"/>
      <c r="H53" s="10"/>
      <c r="I53" s="10"/>
      <c r="J53" s="10"/>
      <c r="K53" s="10"/>
      <c r="L53" s="10"/>
      <c r="M53" s="10"/>
      <c r="N53" s="10"/>
      <c r="O53" s="10"/>
      <c r="P53" s="10"/>
      <c r="Q53" s="10"/>
      <c r="R53" s="10"/>
      <c r="S53" s="10"/>
      <c r="T53" s="12"/>
      <c r="U53" s="12"/>
      <c r="V53" s="12"/>
      <c r="W53" s="12"/>
      <c r="X53" s="12"/>
      <c r="Y53" s="12"/>
      <c r="Z53" s="12"/>
      <c r="AA53" s="40"/>
    </row>
    <row r="54" spans="1:27" ht="24.75" customHeight="1">
      <c r="A54" s="14">
        <v>38</v>
      </c>
      <c r="B54" s="16" t="s">
        <v>99</v>
      </c>
      <c r="C54" s="16" t="s">
        <v>100</v>
      </c>
      <c r="D54" s="20" t="s">
        <v>101</v>
      </c>
      <c r="E54" s="16" t="s">
        <v>102</v>
      </c>
      <c r="F54" s="32">
        <v>525</v>
      </c>
      <c r="G54" s="21" t="s">
        <v>22</v>
      </c>
      <c r="H54" s="15"/>
      <c r="I54" s="15"/>
      <c r="J54" s="15"/>
      <c r="K54" s="15"/>
      <c r="L54" s="15"/>
      <c r="M54" s="15"/>
      <c r="N54" s="15"/>
      <c r="O54" s="15"/>
      <c r="P54" s="15"/>
      <c r="Q54" s="15"/>
      <c r="R54" s="15"/>
      <c r="S54" s="15"/>
      <c r="T54" s="19"/>
      <c r="U54" s="19"/>
      <c r="V54" s="19"/>
      <c r="W54" s="19"/>
      <c r="X54" s="19"/>
      <c r="Y54" s="19"/>
      <c r="Z54" s="19"/>
    </row>
    <row r="55" spans="1:27" ht="24.75" customHeight="1">
      <c r="A55" s="14">
        <v>39</v>
      </c>
      <c r="B55" s="41" t="s">
        <v>103</v>
      </c>
      <c r="C55" s="41" t="s">
        <v>104</v>
      </c>
      <c r="D55" s="42" t="s">
        <v>105</v>
      </c>
      <c r="E55" s="16" t="s">
        <v>102</v>
      </c>
      <c r="F55" s="32">
        <v>765</v>
      </c>
      <c r="G55" s="21" t="s">
        <v>22</v>
      </c>
      <c r="H55" s="15"/>
      <c r="I55" s="15"/>
      <c r="J55" s="15"/>
      <c r="K55" s="15"/>
      <c r="L55" s="15"/>
      <c r="M55" s="15"/>
      <c r="N55" s="15"/>
      <c r="O55" s="15"/>
      <c r="P55" s="15"/>
      <c r="Q55" s="15"/>
      <c r="R55" s="15"/>
      <c r="S55" s="15"/>
      <c r="T55" s="19"/>
      <c r="U55" s="19"/>
      <c r="V55" s="19"/>
      <c r="W55" s="19"/>
      <c r="X55" s="19"/>
      <c r="Y55" s="19"/>
      <c r="Z55" s="19"/>
    </row>
    <row r="56" spans="1:27" ht="24.75" customHeight="1">
      <c r="A56" s="14"/>
      <c r="B56" s="41" t="s">
        <v>106</v>
      </c>
      <c r="C56" s="41" t="s">
        <v>107</v>
      </c>
      <c r="D56" s="42" t="s">
        <v>108</v>
      </c>
      <c r="E56" s="16" t="s">
        <v>102</v>
      </c>
      <c r="F56" s="32">
        <v>765</v>
      </c>
      <c r="G56" s="18"/>
      <c r="H56" s="15"/>
      <c r="I56" s="15"/>
      <c r="J56" s="15"/>
      <c r="K56" s="15"/>
      <c r="L56" s="15"/>
      <c r="M56" s="15"/>
      <c r="N56" s="15"/>
      <c r="O56" s="15"/>
      <c r="P56" s="15"/>
      <c r="Q56" s="15"/>
      <c r="R56" s="15"/>
      <c r="S56" s="15"/>
      <c r="T56" s="19"/>
      <c r="U56" s="19"/>
      <c r="V56" s="19"/>
      <c r="W56" s="19"/>
      <c r="X56" s="19"/>
      <c r="Y56" s="19"/>
      <c r="Z56" s="19"/>
    </row>
    <row r="57" spans="1:27" ht="24.75" customHeight="1">
      <c r="A57" s="14">
        <v>40</v>
      </c>
      <c r="B57" s="16" t="s">
        <v>109</v>
      </c>
      <c r="C57" s="16">
        <v>5800</v>
      </c>
      <c r="D57" s="20" t="s">
        <v>110</v>
      </c>
      <c r="E57" s="15" t="s">
        <v>111</v>
      </c>
      <c r="F57" s="14">
        <v>4500</v>
      </c>
      <c r="G57" s="18" t="s">
        <v>112</v>
      </c>
      <c r="H57" s="15"/>
      <c r="I57" s="15"/>
      <c r="J57" s="15"/>
      <c r="K57" s="15"/>
      <c r="L57" s="15"/>
      <c r="M57" s="15"/>
      <c r="N57" s="15"/>
      <c r="O57" s="15"/>
      <c r="P57" s="15"/>
      <c r="Q57" s="15"/>
      <c r="R57" s="15"/>
      <c r="S57" s="15"/>
      <c r="T57" s="19"/>
      <c r="U57" s="19"/>
      <c r="V57" s="19"/>
      <c r="W57" s="19"/>
      <c r="X57" s="19"/>
      <c r="Y57" s="19"/>
      <c r="Z57" s="19"/>
    </row>
    <row r="58" spans="1:27" ht="24.75" customHeight="1">
      <c r="A58" s="14">
        <v>41</v>
      </c>
      <c r="B58" s="16" t="s">
        <v>113</v>
      </c>
      <c r="C58" s="16">
        <v>500</v>
      </c>
      <c r="D58" s="20" t="s">
        <v>114</v>
      </c>
      <c r="E58" s="15" t="s">
        <v>115</v>
      </c>
      <c r="F58" s="14">
        <v>100</v>
      </c>
      <c r="G58" s="21" t="s">
        <v>116</v>
      </c>
      <c r="H58" s="15"/>
      <c r="I58" s="15"/>
      <c r="J58" s="15"/>
      <c r="K58" s="15"/>
      <c r="L58" s="15"/>
      <c r="M58" s="15"/>
      <c r="N58" s="15"/>
      <c r="O58" s="15"/>
      <c r="P58" s="15"/>
      <c r="Q58" s="15"/>
      <c r="R58" s="15"/>
      <c r="S58" s="15"/>
      <c r="T58" s="19"/>
      <c r="U58" s="19"/>
      <c r="V58" s="19"/>
      <c r="W58" s="19"/>
      <c r="X58" s="19"/>
      <c r="Y58" s="19"/>
      <c r="Z58" s="19"/>
    </row>
    <row r="59" spans="1:27" ht="24.75" customHeight="1">
      <c r="A59" s="14">
        <v>42</v>
      </c>
      <c r="B59" s="16" t="s">
        <v>117</v>
      </c>
      <c r="C59" s="16" t="s">
        <v>118</v>
      </c>
      <c r="D59" s="17" t="s">
        <v>114</v>
      </c>
      <c r="E59" s="15" t="s">
        <v>115</v>
      </c>
      <c r="F59" s="14" t="s">
        <v>119</v>
      </c>
      <c r="G59" s="21" t="s">
        <v>85</v>
      </c>
      <c r="H59" s="15"/>
      <c r="I59" s="15"/>
      <c r="J59" s="15"/>
      <c r="K59" s="15"/>
      <c r="L59" s="15"/>
      <c r="M59" s="15"/>
      <c r="N59" s="15"/>
      <c r="O59" s="15"/>
      <c r="P59" s="15"/>
      <c r="Q59" s="15"/>
      <c r="R59" s="15"/>
      <c r="S59" s="15"/>
      <c r="T59" s="19"/>
      <c r="U59" s="19"/>
      <c r="V59" s="19"/>
      <c r="W59" s="19"/>
      <c r="X59" s="19"/>
      <c r="Y59" s="19"/>
      <c r="Z59" s="19"/>
    </row>
    <row r="60" spans="1:27" ht="24.75" customHeight="1">
      <c r="A60" s="14">
        <v>43</v>
      </c>
      <c r="B60" s="16" t="s">
        <v>120</v>
      </c>
      <c r="C60" s="16" t="s">
        <v>118</v>
      </c>
      <c r="D60" s="17" t="s">
        <v>114</v>
      </c>
      <c r="E60" s="15" t="s">
        <v>115</v>
      </c>
      <c r="F60" s="14">
        <v>7500</v>
      </c>
      <c r="G60" s="21" t="s">
        <v>121</v>
      </c>
      <c r="H60" s="15"/>
      <c r="I60" s="15"/>
      <c r="J60" s="15"/>
      <c r="K60" s="15"/>
      <c r="L60" s="15"/>
      <c r="M60" s="15"/>
      <c r="N60" s="15"/>
      <c r="O60" s="15"/>
      <c r="P60" s="15"/>
      <c r="Q60" s="15"/>
      <c r="R60" s="15"/>
      <c r="S60" s="15"/>
      <c r="T60" s="19"/>
      <c r="U60" s="19"/>
      <c r="V60" s="19"/>
      <c r="W60" s="19"/>
      <c r="X60" s="19"/>
      <c r="Y60" s="19"/>
      <c r="Z60" s="19"/>
    </row>
    <row r="61" spans="1:27" ht="24.75" customHeight="1">
      <c r="A61" s="14">
        <v>44</v>
      </c>
      <c r="B61" s="15" t="s">
        <v>122</v>
      </c>
      <c r="C61" s="16">
        <v>500</v>
      </c>
      <c r="D61" s="17" t="s">
        <v>114</v>
      </c>
      <c r="E61" s="15" t="s">
        <v>115</v>
      </c>
      <c r="F61" s="14" t="s">
        <v>123</v>
      </c>
      <c r="G61" s="21" t="s">
        <v>124</v>
      </c>
      <c r="H61" s="15"/>
      <c r="I61" s="15"/>
      <c r="J61" s="15"/>
      <c r="K61" s="15"/>
      <c r="L61" s="15"/>
      <c r="M61" s="15"/>
      <c r="N61" s="15"/>
      <c r="O61" s="15"/>
      <c r="P61" s="15"/>
      <c r="Q61" s="15"/>
      <c r="R61" s="15"/>
      <c r="S61" s="15"/>
      <c r="T61" s="19"/>
      <c r="U61" s="19"/>
      <c r="V61" s="19"/>
      <c r="W61" s="19"/>
      <c r="X61" s="19"/>
      <c r="Y61" s="19"/>
      <c r="Z61" s="19"/>
    </row>
    <row r="62" spans="1:27" ht="24.75" customHeight="1">
      <c r="A62" s="14">
        <v>45</v>
      </c>
      <c r="B62" s="15" t="s">
        <v>125</v>
      </c>
      <c r="C62" s="16">
        <v>800</v>
      </c>
      <c r="D62" s="16"/>
      <c r="E62" s="15" t="s">
        <v>16</v>
      </c>
      <c r="F62" s="14">
        <v>500</v>
      </c>
      <c r="G62" s="21" t="s">
        <v>126</v>
      </c>
      <c r="H62" s="15"/>
      <c r="I62" s="15"/>
      <c r="J62" s="15"/>
      <c r="K62" s="15"/>
      <c r="L62" s="15"/>
      <c r="M62" s="15"/>
      <c r="N62" s="15"/>
      <c r="O62" s="15"/>
      <c r="P62" s="15"/>
      <c r="Q62" s="15"/>
      <c r="R62" s="15"/>
      <c r="S62" s="15"/>
      <c r="T62" s="19"/>
      <c r="U62" s="19"/>
      <c r="V62" s="19"/>
      <c r="W62" s="19"/>
      <c r="X62" s="19"/>
      <c r="Y62" s="19"/>
      <c r="Z62" s="19"/>
    </row>
    <row r="63" spans="1:27" ht="24.75" customHeight="1">
      <c r="A63" s="14">
        <v>46</v>
      </c>
      <c r="B63" s="26" t="s">
        <v>127</v>
      </c>
      <c r="C63" s="27">
        <v>800</v>
      </c>
      <c r="D63" s="43" t="s">
        <v>128</v>
      </c>
      <c r="E63" s="26" t="s">
        <v>16</v>
      </c>
      <c r="F63" s="28" t="s">
        <v>17</v>
      </c>
      <c r="G63" s="29" t="s">
        <v>126</v>
      </c>
      <c r="H63" s="26"/>
      <c r="I63" s="26"/>
      <c r="J63" s="26"/>
      <c r="K63" s="26"/>
      <c r="L63" s="26"/>
      <c r="M63" s="26"/>
      <c r="N63" s="26"/>
      <c r="O63" s="26"/>
      <c r="P63" s="26"/>
      <c r="Q63" s="26"/>
      <c r="R63" s="26"/>
      <c r="S63" s="26"/>
      <c r="T63" s="30"/>
      <c r="U63" s="30"/>
      <c r="V63" s="30"/>
      <c r="W63" s="30"/>
      <c r="X63" s="30"/>
      <c r="Y63" s="30"/>
      <c r="Z63" s="30"/>
    </row>
    <row r="64" spans="1:27" ht="24.75" customHeight="1">
      <c r="A64" s="14">
        <v>47</v>
      </c>
      <c r="B64" s="27" t="s">
        <v>129</v>
      </c>
      <c r="C64" s="27">
        <v>400</v>
      </c>
      <c r="D64" s="31" t="s">
        <v>128</v>
      </c>
      <c r="E64" s="27" t="s">
        <v>21</v>
      </c>
      <c r="F64" s="25">
        <v>75</v>
      </c>
      <c r="G64" s="29" t="s">
        <v>22</v>
      </c>
      <c r="H64" s="26"/>
      <c r="I64" s="26"/>
      <c r="J64" s="26"/>
      <c r="K64" s="26"/>
      <c r="L64" s="26"/>
      <c r="M64" s="26"/>
      <c r="N64" s="26"/>
      <c r="O64" s="26"/>
      <c r="P64" s="26"/>
      <c r="Q64" s="26"/>
      <c r="R64" s="26"/>
      <c r="S64" s="26"/>
      <c r="T64" s="30"/>
      <c r="U64" s="30"/>
      <c r="V64" s="30"/>
      <c r="W64" s="30"/>
      <c r="X64" s="30"/>
      <c r="Y64" s="30"/>
      <c r="Z64" s="30"/>
    </row>
    <row r="65" spans="1:27" ht="24.75" customHeight="1">
      <c r="A65" s="14"/>
      <c r="B65" s="27" t="s">
        <v>130</v>
      </c>
      <c r="C65" s="27">
        <v>1000</v>
      </c>
      <c r="D65" s="31" t="s">
        <v>128</v>
      </c>
      <c r="E65" s="27" t="s">
        <v>21</v>
      </c>
      <c r="F65" s="25">
        <v>500</v>
      </c>
      <c r="G65" s="29"/>
      <c r="H65" s="26"/>
      <c r="I65" s="26"/>
      <c r="J65" s="26"/>
      <c r="K65" s="26"/>
      <c r="L65" s="26"/>
      <c r="M65" s="26"/>
      <c r="N65" s="26"/>
      <c r="O65" s="26"/>
      <c r="P65" s="26"/>
      <c r="Q65" s="26"/>
      <c r="R65" s="26"/>
      <c r="S65" s="26"/>
      <c r="T65" s="30"/>
      <c r="U65" s="30"/>
      <c r="V65" s="30"/>
      <c r="W65" s="30"/>
      <c r="X65" s="30"/>
      <c r="Y65" s="30"/>
      <c r="Z65" s="30"/>
    </row>
    <row r="66" spans="1:27" ht="24.75" customHeight="1">
      <c r="A66" s="14">
        <v>48</v>
      </c>
      <c r="B66" s="26" t="s">
        <v>131</v>
      </c>
      <c r="C66" s="27">
        <v>1500</v>
      </c>
      <c r="D66" s="27"/>
      <c r="E66" s="26" t="s">
        <v>16</v>
      </c>
      <c r="F66" s="28"/>
      <c r="G66" s="29" t="s">
        <v>71</v>
      </c>
      <c r="H66" s="26"/>
      <c r="I66" s="26"/>
      <c r="J66" s="26"/>
      <c r="K66" s="26"/>
      <c r="L66" s="26"/>
      <c r="M66" s="26"/>
      <c r="N66" s="26"/>
      <c r="O66" s="26"/>
      <c r="P66" s="26"/>
      <c r="Q66" s="26"/>
      <c r="R66" s="26"/>
      <c r="S66" s="26"/>
      <c r="T66" s="30"/>
      <c r="U66" s="30"/>
      <c r="V66" s="30"/>
      <c r="W66" s="30"/>
      <c r="X66" s="30"/>
      <c r="Y66" s="30"/>
      <c r="Z66" s="30"/>
    </row>
    <row r="67" spans="1:27" ht="24.75" customHeight="1">
      <c r="A67" s="14">
        <v>49</v>
      </c>
      <c r="B67" s="26" t="s">
        <v>132</v>
      </c>
      <c r="C67" s="27">
        <v>500</v>
      </c>
      <c r="D67" s="31" t="s">
        <v>133</v>
      </c>
      <c r="E67" s="26" t="s">
        <v>16</v>
      </c>
      <c r="F67" s="28"/>
      <c r="G67" s="29" t="s">
        <v>22</v>
      </c>
      <c r="H67" s="26"/>
      <c r="I67" s="26"/>
      <c r="J67" s="26"/>
      <c r="K67" s="26"/>
      <c r="L67" s="26"/>
      <c r="M67" s="26"/>
      <c r="N67" s="26"/>
      <c r="O67" s="26"/>
      <c r="P67" s="26"/>
      <c r="Q67" s="26"/>
      <c r="R67" s="26"/>
      <c r="S67" s="26"/>
      <c r="T67" s="30"/>
      <c r="U67" s="30"/>
      <c r="V67" s="30"/>
      <c r="W67" s="30"/>
      <c r="X67" s="30"/>
      <c r="Y67" s="30"/>
      <c r="Z67" s="30"/>
    </row>
    <row r="68" spans="1:27" ht="24.75" customHeight="1">
      <c r="A68" s="14">
        <v>50</v>
      </c>
      <c r="B68" s="26" t="s">
        <v>134</v>
      </c>
      <c r="C68" s="27">
        <v>1000</v>
      </c>
      <c r="D68" s="31" t="s">
        <v>135</v>
      </c>
      <c r="E68" s="26" t="s">
        <v>16</v>
      </c>
      <c r="F68" s="28">
        <v>500</v>
      </c>
      <c r="G68" s="29" t="s">
        <v>94</v>
      </c>
      <c r="H68" s="26"/>
      <c r="I68" s="26"/>
      <c r="J68" s="26"/>
      <c r="K68" s="26"/>
      <c r="L68" s="26"/>
      <c r="M68" s="26"/>
      <c r="N68" s="26"/>
      <c r="O68" s="26"/>
      <c r="P68" s="26"/>
      <c r="Q68" s="26"/>
      <c r="R68" s="26"/>
      <c r="S68" s="26"/>
      <c r="T68" s="30"/>
      <c r="U68" s="30"/>
      <c r="V68" s="30"/>
      <c r="W68" s="30"/>
      <c r="X68" s="30"/>
      <c r="Y68" s="30"/>
      <c r="Z68" s="30"/>
    </row>
    <row r="69" spans="1:27" ht="24.75" customHeight="1">
      <c r="A69" s="14">
        <v>51</v>
      </c>
      <c r="B69" s="26" t="s">
        <v>136</v>
      </c>
      <c r="C69" s="27">
        <v>6000</v>
      </c>
      <c r="D69" s="27"/>
      <c r="E69" s="26" t="s">
        <v>62</v>
      </c>
      <c r="F69" s="28" t="s">
        <v>17</v>
      </c>
      <c r="G69" s="29" t="s">
        <v>71</v>
      </c>
      <c r="H69" s="26"/>
      <c r="I69" s="26"/>
      <c r="J69" s="26"/>
      <c r="K69" s="26"/>
      <c r="L69" s="26"/>
      <c r="M69" s="26"/>
      <c r="N69" s="26"/>
      <c r="O69" s="26"/>
      <c r="P69" s="26"/>
      <c r="Q69" s="26"/>
      <c r="R69" s="26"/>
      <c r="S69" s="26"/>
      <c r="T69" s="30"/>
      <c r="U69" s="30"/>
      <c r="V69" s="30"/>
      <c r="W69" s="30"/>
      <c r="X69" s="30"/>
      <c r="Y69" s="30"/>
      <c r="Z69" s="30"/>
    </row>
    <row r="70" spans="1:27" ht="24.75" customHeight="1">
      <c r="A70" s="14">
        <v>52</v>
      </c>
      <c r="B70" s="26" t="s">
        <v>137</v>
      </c>
      <c r="C70" s="27">
        <v>6000</v>
      </c>
      <c r="D70" s="27"/>
      <c r="E70" s="26" t="s">
        <v>62</v>
      </c>
      <c r="F70" s="28" t="s">
        <v>17</v>
      </c>
      <c r="G70" s="29" t="s">
        <v>94</v>
      </c>
      <c r="H70" s="26"/>
      <c r="I70" s="26"/>
      <c r="J70" s="26"/>
      <c r="K70" s="26"/>
      <c r="L70" s="26"/>
      <c r="M70" s="26"/>
      <c r="N70" s="26"/>
      <c r="O70" s="26"/>
      <c r="P70" s="26"/>
      <c r="Q70" s="26"/>
      <c r="R70" s="26"/>
      <c r="S70" s="26"/>
      <c r="T70" s="30"/>
      <c r="U70" s="30"/>
      <c r="V70" s="30"/>
      <c r="W70" s="30"/>
      <c r="X70" s="30"/>
      <c r="Y70" s="30"/>
      <c r="Z70" s="30"/>
    </row>
    <row r="71" spans="1:27" ht="24.75" customHeight="1">
      <c r="A71" s="14">
        <v>53</v>
      </c>
      <c r="B71" s="26" t="s">
        <v>138</v>
      </c>
      <c r="C71" s="26"/>
      <c r="D71" s="26"/>
      <c r="E71" s="26" t="s">
        <v>62</v>
      </c>
      <c r="F71" s="28" t="s">
        <v>17</v>
      </c>
      <c r="G71" s="29" t="s">
        <v>94</v>
      </c>
      <c r="H71" s="26"/>
      <c r="I71" s="26"/>
      <c r="J71" s="26"/>
      <c r="K71" s="26"/>
      <c r="L71" s="26"/>
      <c r="M71" s="26"/>
      <c r="N71" s="26"/>
      <c r="O71" s="26"/>
      <c r="P71" s="26"/>
      <c r="Q71" s="26"/>
      <c r="R71" s="26"/>
      <c r="S71" s="26"/>
      <c r="T71" s="30"/>
      <c r="U71" s="30"/>
      <c r="V71" s="30"/>
      <c r="W71" s="30"/>
      <c r="X71" s="30"/>
      <c r="Y71" s="30"/>
      <c r="Z71" s="30"/>
    </row>
    <row r="72" spans="1:27" ht="24.75" customHeight="1">
      <c r="A72" s="14">
        <v>54</v>
      </c>
      <c r="B72" s="15" t="s">
        <v>139</v>
      </c>
      <c r="C72" s="16">
        <v>1500</v>
      </c>
      <c r="D72" s="16"/>
      <c r="E72" s="15" t="s">
        <v>21</v>
      </c>
      <c r="F72" s="14" t="s">
        <v>17</v>
      </c>
      <c r="G72" s="21" t="s">
        <v>140</v>
      </c>
      <c r="H72" s="15"/>
      <c r="I72" s="15"/>
      <c r="J72" s="15"/>
      <c r="K72" s="15"/>
      <c r="L72" s="15"/>
      <c r="M72" s="15"/>
      <c r="N72" s="15"/>
      <c r="O72" s="15"/>
      <c r="P72" s="15"/>
      <c r="Q72" s="15"/>
      <c r="R72" s="15"/>
      <c r="S72" s="15"/>
      <c r="T72" s="19"/>
      <c r="U72" s="19"/>
      <c r="V72" s="19"/>
      <c r="W72" s="19"/>
      <c r="X72" s="19"/>
      <c r="Y72" s="19"/>
      <c r="Z72" s="19"/>
    </row>
    <row r="73" spans="1:27" ht="24.75" customHeight="1">
      <c r="A73" s="14">
        <v>55</v>
      </c>
      <c r="B73" s="15" t="s">
        <v>141</v>
      </c>
      <c r="C73" s="16">
        <v>7500</v>
      </c>
      <c r="D73" s="16"/>
      <c r="E73" s="15" t="s">
        <v>16</v>
      </c>
      <c r="F73" s="14">
        <v>5900</v>
      </c>
      <c r="G73" s="21" t="s">
        <v>140</v>
      </c>
      <c r="H73" s="15"/>
      <c r="I73" s="15"/>
      <c r="J73" s="15"/>
      <c r="K73" s="15"/>
      <c r="L73" s="15"/>
      <c r="M73" s="15"/>
      <c r="N73" s="15"/>
      <c r="O73" s="15"/>
      <c r="P73" s="15"/>
      <c r="Q73" s="15"/>
      <c r="R73" s="15"/>
      <c r="S73" s="15"/>
      <c r="T73" s="19"/>
      <c r="U73" s="19"/>
      <c r="V73" s="19"/>
      <c r="W73" s="19"/>
      <c r="X73" s="19"/>
      <c r="Y73" s="19"/>
      <c r="Z73" s="19"/>
    </row>
    <row r="74" spans="1:27" ht="24.75" customHeight="1">
      <c r="A74" s="44"/>
      <c r="B74" s="15" t="s">
        <v>142</v>
      </c>
      <c r="C74" s="45"/>
      <c r="D74" s="45"/>
      <c r="E74" s="46"/>
      <c r="F74" s="44"/>
      <c r="G74" s="47"/>
      <c r="H74" s="46"/>
      <c r="I74" s="46"/>
      <c r="J74" s="46"/>
      <c r="K74" s="46"/>
      <c r="L74" s="46"/>
      <c r="M74" s="46"/>
      <c r="N74" s="46"/>
      <c r="O74" s="46"/>
      <c r="P74" s="46"/>
      <c r="Q74" s="46"/>
      <c r="R74" s="46"/>
      <c r="S74" s="46"/>
      <c r="T74" s="48"/>
      <c r="U74" s="48"/>
      <c r="V74" s="48"/>
      <c r="W74" s="48"/>
      <c r="X74" s="48"/>
      <c r="Y74" s="48"/>
      <c r="Z74" s="48"/>
    </row>
    <row r="75" spans="1:27" ht="24.75" customHeight="1">
      <c r="A75" s="44"/>
      <c r="B75" s="45"/>
      <c r="C75" s="45"/>
      <c r="D75" s="45"/>
      <c r="E75" s="46"/>
      <c r="F75" s="44"/>
      <c r="G75" s="47"/>
      <c r="H75" s="46"/>
      <c r="I75" s="46"/>
      <c r="J75" s="46"/>
      <c r="K75" s="46"/>
      <c r="L75" s="46"/>
      <c r="M75" s="46"/>
      <c r="N75" s="46"/>
      <c r="O75" s="46"/>
      <c r="P75" s="46"/>
      <c r="Q75" s="46"/>
      <c r="R75" s="46"/>
      <c r="S75" s="46"/>
      <c r="T75" s="48"/>
      <c r="U75" s="48"/>
      <c r="V75" s="48"/>
      <c r="W75" s="48"/>
      <c r="X75" s="48"/>
      <c r="Y75" s="48"/>
      <c r="Z75" s="48"/>
    </row>
    <row r="76" spans="1:27" ht="24.75" customHeight="1">
      <c r="A76" s="44"/>
      <c r="B76" s="45"/>
      <c r="C76" s="45"/>
      <c r="D76" s="45"/>
      <c r="E76" s="46"/>
      <c r="F76" s="44"/>
      <c r="G76" s="47"/>
      <c r="H76" s="46"/>
      <c r="I76" s="46"/>
      <c r="J76" s="46"/>
      <c r="K76" s="46"/>
      <c r="L76" s="46"/>
      <c r="M76" s="46"/>
      <c r="N76" s="46"/>
      <c r="O76" s="46"/>
      <c r="P76" s="46"/>
      <c r="Q76" s="46"/>
      <c r="R76" s="46"/>
      <c r="S76" s="46"/>
      <c r="T76" s="48"/>
      <c r="U76" s="48"/>
      <c r="V76" s="48"/>
      <c r="W76" s="48"/>
      <c r="X76" s="48"/>
      <c r="Y76" s="48"/>
      <c r="Z76" s="48"/>
    </row>
    <row r="77" spans="1:27" ht="24.75" customHeight="1">
      <c r="A77" s="14"/>
      <c r="C77" s="15"/>
      <c r="D77" s="19"/>
      <c r="E77" s="15"/>
      <c r="F77" s="14"/>
      <c r="G77" s="21"/>
      <c r="H77" s="15"/>
      <c r="I77" s="15"/>
      <c r="J77" s="34"/>
      <c r="K77" s="15"/>
      <c r="L77" s="15"/>
      <c r="M77" s="15"/>
      <c r="N77" s="15"/>
      <c r="O77" s="15"/>
      <c r="P77" s="15"/>
      <c r="Q77" s="15"/>
      <c r="R77" s="15"/>
      <c r="S77" s="15"/>
      <c r="T77" s="19"/>
      <c r="U77" s="19"/>
      <c r="V77" s="19"/>
      <c r="W77" s="19"/>
      <c r="X77" s="19"/>
      <c r="Y77" s="19"/>
      <c r="Z77" s="19"/>
    </row>
    <row r="78" spans="1:27" ht="24.75" customHeight="1">
      <c r="A78" s="49"/>
      <c r="B78" s="50"/>
      <c r="C78" s="50"/>
      <c r="D78" s="50"/>
      <c r="E78" s="50"/>
      <c r="F78" s="49"/>
      <c r="G78" s="51"/>
      <c r="H78" s="50"/>
      <c r="I78" s="50"/>
      <c r="J78" s="50"/>
      <c r="K78" s="50"/>
      <c r="L78" s="50"/>
      <c r="M78" s="50"/>
      <c r="N78" s="50"/>
      <c r="O78" s="50"/>
      <c r="P78" s="50"/>
      <c r="Q78" s="50"/>
      <c r="R78" s="50"/>
      <c r="S78" s="50"/>
      <c r="T78" s="52"/>
      <c r="U78" s="52"/>
      <c r="V78" s="52"/>
      <c r="W78" s="52"/>
      <c r="X78" s="52"/>
      <c r="Y78" s="52"/>
      <c r="Z78" s="52"/>
      <c r="AA78" s="53"/>
    </row>
    <row r="79" spans="1:27" ht="24.75" customHeight="1">
      <c r="A79" s="14"/>
      <c r="B79" s="15"/>
      <c r="C79" s="15"/>
      <c r="D79" s="15"/>
      <c r="E79" s="15"/>
      <c r="F79" s="14"/>
      <c r="G79" s="21"/>
      <c r="H79" s="15"/>
      <c r="I79" s="15"/>
      <c r="J79" s="15"/>
      <c r="K79" s="15"/>
      <c r="L79" s="15"/>
      <c r="M79" s="15"/>
      <c r="N79" s="15"/>
      <c r="O79" s="15"/>
      <c r="P79" s="15"/>
      <c r="Q79" s="15"/>
      <c r="R79" s="15"/>
      <c r="S79" s="15"/>
      <c r="T79" s="19"/>
      <c r="U79" s="19"/>
      <c r="V79" s="19"/>
      <c r="W79" s="19"/>
      <c r="X79" s="19"/>
      <c r="Y79" s="19"/>
      <c r="Z79" s="19"/>
    </row>
    <row r="80" spans="1:27" ht="24.75" customHeight="1">
      <c r="A80" s="14"/>
      <c r="B80" s="15"/>
      <c r="C80" s="15"/>
      <c r="D80" s="15"/>
      <c r="E80" s="15"/>
      <c r="F80" s="14"/>
      <c r="G80" s="21"/>
      <c r="H80" s="15"/>
      <c r="I80" s="15"/>
      <c r="J80" s="15"/>
      <c r="K80" s="15"/>
      <c r="L80" s="15"/>
      <c r="M80" s="15"/>
      <c r="N80" s="15"/>
      <c r="O80" s="15"/>
      <c r="P80" s="15"/>
      <c r="Q80" s="15"/>
      <c r="R80" s="15"/>
      <c r="S80" s="15"/>
      <c r="T80" s="19"/>
      <c r="U80" s="19"/>
      <c r="V80" s="19"/>
      <c r="W80" s="19"/>
      <c r="X80" s="19"/>
      <c r="Y80" s="19"/>
      <c r="Z80" s="19"/>
    </row>
    <row r="81" spans="1:26" ht="24.75" customHeight="1">
      <c r="A81" s="14"/>
      <c r="B81" s="15"/>
      <c r="C81" s="15"/>
      <c r="D81" s="15"/>
      <c r="E81" s="15"/>
      <c r="F81" s="14"/>
      <c r="G81" s="21"/>
      <c r="H81" s="15"/>
      <c r="I81" s="15"/>
      <c r="J81" s="15"/>
      <c r="K81" s="15"/>
      <c r="L81" s="15"/>
      <c r="M81" s="15"/>
      <c r="N81" s="15"/>
      <c r="O81" s="15"/>
      <c r="P81" s="15"/>
      <c r="Q81" s="15"/>
      <c r="R81" s="15"/>
      <c r="S81" s="15"/>
      <c r="T81" s="19"/>
      <c r="U81" s="19"/>
      <c r="V81" s="19"/>
      <c r="W81" s="19"/>
      <c r="X81" s="19"/>
      <c r="Y81" s="19"/>
      <c r="Z81" s="19"/>
    </row>
    <row r="82" spans="1:26" ht="24.75" customHeight="1">
      <c r="A82" s="14"/>
      <c r="B82" s="15"/>
      <c r="C82" s="15"/>
      <c r="D82" s="15"/>
      <c r="E82" s="15"/>
      <c r="F82" s="14"/>
      <c r="G82" s="21"/>
      <c r="H82" s="15"/>
      <c r="I82" s="15"/>
      <c r="J82" s="15"/>
      <c r="K82" s="15"/>
      <c r="L82" s="15"/>
      <c r="M82" s="15"/>
      <c r="N82" s="15"/>
      <c r="O82" s="15"/>
      <c r="P82" s="15"/>
      <c r="Q82" s="15"/>
      <c r="R82" s="15"/>
      <c r="S82" s="15"/>
      <c r="T82" s="19"/>
      <c r="U82" s="19"/>
      <c r="V82" s="19"/>
      <c r="W82" s="19"/>
      <c r="X82" s="19"/>
      <c r="Y82" s="19"/>
      <c r="Z82" s="19"/>
    </row>
    <row r="83" spans="1:26" ht="24.75" customHeight="1">
      <c r="A83" s="14"/>
      <c r="B83" s="15"/>
      <c r="C83" s="15"/>
      <c r="D83" s="15"/>
      <c r="E83" s="15"/>
      <c r="F83" s="14"/>
      <c r="G83" s="21"/>
      <c r="H83" s="15"/>
      <c r="I83" s="15"/>
      <c r="J83" s="15"/>
      <c r="K83" s="15"/>
      <c r="L83" s="15"/>
      <c r="M83" s="15"/>
      <c r="N83" s="15"/>
      <c r="O83" s="15"/>
      <c r="P83" s="15"/>
      <c r="Q83" s="15"/>
      <c r="R83" s="15"/>
      <c r="S83" s="15"/>
      <c r="T83" s="19"/>
      <c r="U83" s="19"/>
      <c r="V83" s="19"/>
      <c r="W83" s="19"/>
      <c r="X83" s="19"/>
      <c r="Y83" s="19"/>
      <c r="Z83" s="19"/>
    </row>
    <row r="84" spans="1:26" ht="24.75" customHeight="1">
      <c r="A84" s="14"/>
      <c r="B84" s="15"/>
      <c r="C84" s="15"/>
      <c r="D84" s="15"/>
      <c r="E84" s="15"/>
      <c r="F84" s="14"/>
      <c r="G84" s="21"/>
      <c r="H84" s="15"/>
      <c r="I84" s="15"/>
      <c r="J84" s="15"/>
      <c r="K84" s="15"/>
      <c r="L84" s="15"/>
      <c r="M84" s="15"/>
      <c r="N84" s="15"/>
      <c r="O84" s="15"/>
      <c r="P84" s="15"/>
      <c r="Q84" s="15"/>
      <c r="R84" s="15"/>
      <c r="S84" s="15"/>
      <c r="T84" s="19"/>
      <c r="U84" s="19"/>
      <c r="V84" s="19"/>
      <c r="W84" s="19"/>
      <c r="X84" s="19"/>
      <c r="Y84" s="19"/>
      <c r="Z84" s="19"/>
    </row>
    <row r="85" spans="1:26" ht="24.75" customHeight="1">
      <c r="A85" s="14"/>
      <c r="B85" s="15"/>
      <c r="C85" s="15"/>
      <c r="D85" s="15"/>
      <c r="E85" s="15"/>
      <c r="F85" s="14"/>
      <c r="G85" s="21"/>
      <c r="H85" s="15"/>
      <c r="I85" s="15"/>
      <c r="J85" s="15"/>
      <c r="K85" s="15"/>
      <c r="L85" s="15"/>
      <c r="M85" s="15"/>
      <c r="N85" s="15"/>
      <c r="O85" s="15"/>
      <c r="P85" s="15"/>
      <c r="Q85" s="15"/>
      <c r="R85" s="15"/>
      <c r="S85" s="15"/>
      <c r="T85" s="19"/>
      <c r="U85" s="19"/>
      <c r="V85" s="19"/>
      <c r="W85" s="19"/>
      <c r="X85" s="19"/>
      <c r="Y85" s="19"/>
      <c r="Z85" s="19"/>
    </row>
    <row r="86" spans="1:26" ht="24.75" customHeight="1">
      <c r="A86" s="14"/>
      <c r="B86" s="15"/>
      <c r="C86" s="15"/>
      <c r="D86" s="15"/>
      <c r="E86" s="15"/>
      <c r="F86" s="14"/>
      <c r="G86" s="21"/>
      <c r="H86" s="15"/>
      <c r="I86" s="15"/>
      <c r="J86" s="15"/>
      <c r="K86" s="15"/>
      <c r="L86" s="15"/>
      <c r="M86" s="15"/>
      <c r="N86" s="15"/>
      <c r="O86" s="15"/>
      <c r="P86" s="15"/>
      <c r="Q86" s="15"/>
      <c r="R86" s="15"/>
      <c r="S86" s="15"/>
      <c r="T86" s="19"/>
      <c r="U86" s="19"/>
      <c r="V86" s="19"/>
      <c r="W86" s="19"/>
      <c r="X86" s="19"/>
      <c r="Y86" s="19"/>
      <c r="Z86" s="19"/>
    </row>
    <row r="87" spans="1:26" ht="24.75" customHeight="1">
      <c r="A87" s="14"/>
      <c r="B87" s="54"/>
      <c r="C87" s="54"/>
      <c r="D87" s="54"/>
      <c r="E87" s="15"/>
      <c r="F87" s="14"/>
      <c r="G87" s="21"/>
      <c r="H87" s="15"/>
      <c r="I87" s="15"/>
      <c r="J87" s="15"/>
      <c r="K87" s="15"/>
      <c r="L87" s="15"/>
      <c r="M87" s="15"/>
      <c r="N87" s="15"/>
      <c r="O87" s="15"/>
      <c r="P87" s="15"/>
      <c r="Q87" s="15"/>
      <c r="R87" s="15"/>
      <c r="S87" s="15"/>
      <c r="T87" s="19"/>
      <c r="U87" s="19"/>
      <c r="V87" s="19"/>
      <c r="W87" s="19"/>
      <c r="X87" s="19"/>
      <c r="Y87" s="19"/>
      <c r="Z87" s="19"/>
    </row>
    <row r="88" spans="1:26" ht="24.75" customHeight="1">
      <c r="A88" s="14"/>
      <c r="B88" s="54"/>
      <c r="C88" s="54"/>
      <c r="D88" s="54"/>
      <c r="E88" s="15"/>
      <c r="F88" s="14"/>
      <c r="G88" s="21"/>
      <c r="H88" s="15"/>
      <c r="I88" s="15"/>
      <c r="J88" s="15"/>
      <c r="K88" s="15"/>
      <c r="L88" s="15"/>
      <c r="M88" s="15"/>
      <c r="N88" s="15"/>
      <c r="O88" s="15"/>
      <c r="P88" s="15"/>
      <c r="Q88" s="15"/>
      <c r="R88" s="15"/>
      <c r="S88" s="15"/>
      <c r="T88" s="19"/>
      <c r="U88" s="19"/>
      <c r="V88" s="19"/>
      <c r="W88" s="19"/>
      <c r="X88" s="19"/>
      <c r="Y88" s="19"/>
      <c r="Z88" s="19"/>
    </row>
    <row r="89" spans="1:26" ht="24.75" customHeight="1">
      <c r="A89" s="14"/>
      <c r="B89" s="54"/>
      <c r="C89" s="54"/>
      <c r="D89" s="54"/>
      <c r="E89" s="15"/>
      <c r="F89" s="14"/>
      <c r="G89" s="21"/>
      <c r="H89" s="15"/>
      <c r="I89" s="15"/>
      <c r="J89" s="15"/>
      <c r="K89" s="15"/>
      <c r="L89" s="15"/>
      <c r="M89" s="15"/>
      <c r="N89" s="15"/>
      <c r="O89" s="15"/>
      <c r="P89" s="15"/>
      <c r="Q89" s="15"/>
      <c r="R89" s="15"/>
      <c r="S89" s="15"/>
      <c r="T89" s="19"/>
      <c r="U89" s="19"/>
      <c r="V89" s="19"/>
      <c r="W89" s="19"/>
      <c r="X89" s="19"/>
      <c r="Y89" s="19"/>
      <c r="Z89" s="19"/>
    </row>
    <row r="90" spans="1:26" ht="24.75" customHeight="1">
      <c r="A90" s="55"/>
      <c r="B90" s="54"/>
      <c r="C90" s="54"/>
      <c r="D90" s="54"/>
      <c r="E90" s="15"/>
      <c r="F90" s="14"/>
      <c r="G90" s="19"/>
      <c r="H90" s="19"/>
      <c r="I90" s="19"/>
      <c r="J90" s="19"/>
      <c r="K90" s="19"/>
      <c r="L90" s="19"/>
      <c r="M90" s="19"/>
      <c r="N90" s="19"/>
      <c r="O90" s="19"/>
      <c r="P90" s="19"/>
      <c r="Q90" s="19"/>
      <c r="R90" s="19"/>
      <c r="S90" s="19"/>
      <c r="T90" s="19"/>
      <c r="U90" s="19"/>
      <c r="V90" s="19"/>
      <c r="W90" s="19"/>
      <c r="X90" s="19"/>
      <c r="Y90" s="19"/>
      <c r="Z90" s="19"/>
    </row>
    <row r="91" spans="1:26" ht="24.75" customHeight="1">
      <c r="A91" s="55"/>
      <c r="B91" s="54"/>
      <c r="C91" s="54"/>
      <c r="D91" s="54"/>
      <c r="E91" s="15"/>
      <c r="F91" s="14"/>
      <c r="G91" s="19"/>
      <c r="H91" s="19"/>
      <c r="I91" s="19"/>
      <c r="J91" s="19"/>
      <c r="K91" s="19"/>
      <c r="L91" s="19"/>
      <c r="M91" s="19"/>
      <c r="N91" s="19"/>
      <c r="O91" s="19"/>
      <c r="P91" s="19"/>
      <c r="Q91" s="19"/>
      <c r="R91" s="19"/>
      <c r="S91" s="19"/>
      <c r="T91" s="19"/>
      <c r="U91" s="19"/>
      <c r="V91" s="19"/>
      <c r="W91" s="19"/>
      <c r="X91" s="19"/>
      <c r="Y91" s="19"/>
      <c r="Z91" s="19"/>
    </row>
    <row r="92" spans="1:26" ht="24.75" customHeight="1">
      <c r="A92" s="55"/>
      <c r="B92" s="54"/>
      <c r="C92" s="54"/>
      <c r="D92" s="54"/>
      <c r="E92" s="15"/>
      <c r="F92" s="14"/>
      <c r="G92" s="19"/>
      <c r="H92" s="19"/>
      <c r="I92" s="19"/>
      <c r="J92" s="19"/>
      <c r="K92" s="19"/>
      <c r="L92" s="19"/>
      <c r="M92" s="19"/>
      <c r="N92" s="19"/>
      <c r="O92" s="19"/>
      <c r="P92" s="19"/>
      <c r="Q92" s="19"/>
      <c r="R92" s="19"/>
      <c r="S92" s="19"/>
      <c r="T92" s="19"/>
      <c r="U92" s="19"/>
      <c r="V92" s="19"/>
      <c r="W92" s="19"/>
      <c r="X92" s="19"/>
      <c r="Y92" s="19"/>
      <c r="Z92" s="19"/>
    </row>
    <row r="93" spans="1:26" ht="24.75" customHeight="1">
      <c r="A93" s="55"/>
      <c r="B93" s="54"/>
      <c r="C93" s="54"/>
      <c r="D93" s="54"/>
      <c r="E93" s="15"/>
      <c r="F93" s="14"/>
      <c r="G93" s="19"/>
      <c r="H93" s="19"/>
      <c r="I93" s="19"/>
      <c r="J93" s="19"/>
      <c r="K93" s="19"/>
      <c r="L93" s="19"/>
      <c r="M93" s="19"/>
      <c r="N93" s="19"/>
      <c r="O93" s="19"/>
      <c r="P93" s="19"/>
      <c r="Q93" s="19"/>
      <c r="R93" s="19"/>
      <c r="S93" s="19"/>
      <c r="T93" s="19"/>
      <c r="U93" s="19"/>
      <c r="V93" s="19"/>
      <c r="W93" s="19"/>
      <c r="X93" s="19"/>
      <c r="Y93" s="19"/>
      <c r="Z93" s="19"/>
    </row>
    <row r="94" spans="1:26" ht="24.75" customHeight="1">
      <c r="A94" s="55"/>
      <c r="B94" s="54"/>
      <c r="C94" s="54"/>
      <c r="D94" s="54"/>
      <c r="E94" s="15"/>
      <c r="F94" s="14"/>
      <c r="G94" s="19"/>
      <c r="H94" s="19"/>
      <c r="I94" s="19"/>
      <c r="J94" s="19"/>
      <c r="K94" s="19"/>
      <c r="L94" s="19"/>
      <c r="M94" s="19"/>
      <c r="N94" s="19"/>
      <c r="O94" s="19"/>
      <c r="P94" s="19"/>
      <c r="Q94" s="19"/>
      <c r="R94" s="19"/>
      <c r="S94" s="19"/>
      <c r="T94" s="19"/>
      <c r="U94" s="19"/>
      <c r="V94" s="19"/>
      <c r="W94" s="19"/>
      <c r="X94" s="19"/>
      <c r="Y94" s="19"/>
      <c r="Z94" s="19"/>
    </row>
    <row r="95" spans="1:26" ht="24.75" customHeight="1">
      <c r="A95" s="55"/>
      <c r="B95" s="54"/>
      <c r="C95" s="54"/>
      <c r="D95" s="54"/>
      <c r="E95" s="15"/>
      <c r="F95" s="14"/>
      <c r="G95" s="19"/>
      <c r="H95" s="19"/>
      <c r="I95" s="19"/>
      <c r="J95" s="19"/>
      <c r="K95" s="19"/>
      <c r="L95" s="19"/>
      <c r="M95" s="19"/>
      <c r="N95" s="19"/>
      <c r="O95" s="19"/>
      <c r="P95" s="19"/>
      <c r="Q95" s="19"/>
      <c r="R95" s="19"/>
      <c r="S95" s="19"/>
      <c r="T95" s="19"/>
      <c r="U95" s="19"/>
      <c r="V95" s="19"/>
      <c r="W95" s="19"/>
      <c r="X95" s="19"/>
      <c r="Y95" s="19"/>
      <c r="Z95" s="19"/>
    </row>
    <row r="96" spans="1:26" ht="24.75" customHeight="1">
      <c r="A96" s="55"/>
      <c r="B96" s="54"/>
      <c r="C96" s="54"/>
      <c r="D96" s="54"/>
      <c r="E96" s="15"/>
      <c r="F96" s="14"/>
      <c r="G96" s="19"/>
      <c r="H96" s="19"/>
      <c r="I96" s="19"/>
      <c r="J96" s="19"/>
      <c r="K96" s="19"/>
      <c r="L96" s="19"/>
      <c r="M96" s="19"/>
      <c r="N96" s="19"/>
      <c r="O96" s="19"/>
      <c r="P96" s="19"/>
      <c r="Q96" s="19"/>
      <c r="R96" s="19"/>
      <c r="S96" s="19"/>
      <c r="T96" s="19"/>
      <c r="U96" s="19"/>
      <c r="V96" s="19"/>
      <c r="W96" s="19"/>
      <c r="X96" s="19"/>
      <c r="Y96" s="19"/>
      <c r="Z96" s="19"/>
    </row>
    <row r="97" spans="1:27" ht="24.75" customHeight="1">
      <c r="A97" s="55"/>
      <c r="B97" s="19"/>
      <c r="C97" s="19"/>
      <c r="D97" s="19"/>
      <c r="E97" s="15"/>
      <c r="F97" s="14"/>
      <c r="G97" s="15"/>
      <c r="H97" s="15"/>
      <c r="I97" s="14"/>
      <c r="J97" s="56"/>
      <c r="K97" s="56"/>
      <c r="L97" s="19"/>
      <c r="M97" s="19"/>
      <c r="N97" s="56"/>
      <c r="O97" s="19"/>
      <c r="P97" s="19"/>
      <c r="Q97" s="19"/>
      <c r="R97" s="19"/>
      <c r="S97" s="19"/>
      <c r="T97" s="19"/>
      <c r="U97" s="19"/>
      <c r="V97" s="19"/>
      <c r="W97" s="19"/>
      <c r="X97" s="19"/>
      <c r="Y97" s="19"/>
      <c r="Z97" s="19"/>
    </row>
    <row r="98" spans="1:27" ht="24.75" customHeight="1">
      <c r="A98" s="55"/>
      <c r="B98" s="19"/>
      <c r="C98" s="19"/>
      <c r="D98" s="19"/>
      <c r="E98" s="15"/>
      <c r="F98" s="14"/>
      <c r="G98" s="15"/>
      <c r="H98" s="15"/>
      <c r="I98" s="14"/>
      <c r="J98" s="56"/>
      <c r="K98" s="56"/>
      <c r="L98" s="19"/>
      <c r="M98" s="19"/>
      <c r="N98" s="56" t="s">
        <v>143</v>
      </c>
      <c r="O98" s="19"/>
      <c r="P98" s="19"/>
      <c r="Q98" s="19"/>
      <c r="R98" s="19"/>
      <c r="S98" s="19"/>
      <c r="T98" s="19"/>
      <c r="U98" s="19"/>
      <c r="V98" s="19"/>
      <c r="W98" s="19"/>
      <c r="X98" s="19"/>
      <c r="Y98" s="19"/>
      <c r="Z98" s="19"/>
    </row>
    <row r="99" spans="1:27" ht="24.75" customHeight="1">
      <c r="A99" s="55"/>
      <c r="B99" s="19"/>
      <c r="C99" s="19"/>
      <c r="D99" s="19"/>
      <c r="E99" s="15"/>
      <c r="F99" s="14"/>
      <c r="G99" s="15"/>
      <c r="H99" s="15"/>
      <c r="I99" s="14"/>
      <c r="J99" s="56"/>
      <c r="K99" s="56"/>
      <c r="L99" s="19"/>
      <c r="M99" s="19"/>
      <c r="N99" s="56"/>
      <c r="O99" s="19"/>
      <c r="P99" s="19"/>
      <c r="Q99" s="19"/>
      <c r="R99" s="19"/>
      <c r="S99" s="19"/>
      <c r="T99" s="19"/>
      <c r="U99" s="19"/>
      <c r="V99" s="19"/>
      <c r="W99" s="19"/>
      <c r="X99" s="19"/>
      <c r="Y99" s="19"/>
      <c r="Z99" s="19"/>
    </row>
    <row r="100" spans="1:27" ht="24.75" customHeight="1">
      <c r="A100" s="55"/>
      <c r="B100" s="19"/>
      <c r="C100" s="19"/>
      <c r="D100" s="19"/>
      <c r="E100" s="19"/>
      <c r="F100" s="55"/>
      <c r="G100" s="15"/>
      <c r="H100" s="15"/>
      <c r="I100" s="14"/>
      <c r="J100" s="56"/>
      <c r="K100" s="56"/>
      <c r="L100" s="19"/>
      <c r="M100" s="19"/>
      <c r="N100" s="56"/>
      <c r="O100" s="19"/>
      <c r="P100" s="19"/>
      <c r="Q100" s="19"/>
      <c r="R100" s="19"/>
      <c r="S100" s="19"/>
      <c r="T100" s="19"/>
      <c r="U100" s="19"/>
      <c r="V100" s="19"/>
      <c r="W100" s="19"/>
      <c r="X100" s="19"/>
      <c r="Y100" s="19"/>
      <c r="Z100" s="19"/>
    </row>
    <row r="101" spans="1:27" ht="24.75" customHeight="1">
      <c r="A101" s="55"/>
      <c r="B101" s="19"/>
      <c r="C101" s="19"/>
      <c r="D101" s="19"/>
      <c r="E101" s="19"/>
      <c r="F101" s="55"/>
      <c r="G101" s="15"/>
      <c r="H101" s="15"/>
      <c r="I101" s="14"/>
      <c r="J101" s="56"/>
      <c r="K101" s="56"/>
      <c r="L101" s="19"/>
      <c r="M101" s="19"/>
      <c r="N101" s="56"/>
      <c r="O101" s="19"/>
      <c r="P101" s="19"/>
      <c r="Q101" s="19"/>
      <c r="R101" s="19"/>
      <c r="S101" s="19"/>
      <c r="T101" s="19"/>
      <c r="U101" s="19"/>
      <c r="V101" s="19"/>
      <c r="W101" s="19"/>
      <c r="X101" s="19"/>
      <c r="Y101" s="19"/>
      <c r="Z101" s="19"/>
    </row>
    <row r="102" spans="1:27" ht="24.75" customHeight="1">
      <c r="A102" s="55"/>
      <c r="B102" s="19"/>
      <c r="C102" s="19"/>
      <c r="D102" s="19"/>
      <c r="E102" s="19"/>
      <c r="F102" s="55"/>
      <c r="G102" s="15"/>
      <c r="H102" s="15"/>
      <c r="I102" s="14"/>
      <c r="J102" s="56"/>
      <c r="K102" s="56"/>
      <c r="L102" s="19"/>
      <c r="M102" s="19"/>
      <c r="N102" s="56" t="s">
        <v>144</v>
      </c>
      <c r="O102" s="19"/>
      <c r="P102" s="19"/>
      <c r="Q102" s="19"/>
      <c r="R102" s="19"/>
      <c r="S102" s="19"/>
      <c r="T102" s="19"/>
      <c r="U102" s="19"/>
      <c r="V102" s="19"/>
      <c r="W102" s="19"/>
      <c r="X102" s="19"/>
      <c r="Y102" s="19"/>
      <c r="Z102" s="19"/>
    </row>
    <row r="103" spans="1:27" ht="24.75" customHeight="1">
      <c r="A103" s="55"/>
      <c r="B103" s="19"/>
      <c r="C103" s="19"/>
      <c r="D103" s="19"/>
      <c r="E103" s="19"/>
      <c r="F103" s="55"/>
      <c r="G103" s="15"/>
      <c r="H103" s="15"/>
      <c r="I103" s="14"/>
      <c r="J103" s="56"/>
      <c r="K103" s="56"/>
      <c r="L103" s="19"/>
      <c r="M103" s="19"/>
      <c r="N103" s="56"/>
      <c r="O103" s="19"/>
      <c r="P103" s="19"/>
      <c r="Q103" s="19"/>
      <c r="R103" s="19"/>
      <c r="S103" s="19"/>
      <c r="T103" s="19"/>
      <c r="U103" s="19"/>
      <c r="V103" s="19"/>
      <c r="W103" s="19"/>
      <c r="X103" s="19"/>
      <c r="Y103" s="19"/>
      <c r="Z103" s="19"/>
    </row>
    <row r="104" spans="1:27" ht="24.75" customHeight="1">
      <c r="A104" s="55"/>
      <c r="B104" s="19"/>
      <c r="C104" s="19"/>
      <c r="D104" s="19"/>
      <c r="E104" s="19"/>
      <c r="F104" s="55"/>
      <c r="G104" s="15"/>
      <c r="H104" s="15"/>
      <c r="I104" s="14"/>
      <c r="J104" s="56"/>
      <c r="K104" s="56"/>
      <c r="L104" s="19"/>
      <c r="M104" s="19"/>
      <c r="N104" s="56"/>
      <c r="O104" s="19"/>
      <c r="P104" s="19"/>
      <c r="Q104" s="19"/>
      <c r="R104" s="19"/>
      <c r="S104" s="19"/>
      <c r="T104" s="19"/>
      <c r="U104" s="19"/>
      <c r="V104" s="19"/>
      <c r="W104" s="19"/>
      <c r="X104" s="19"/>
      <c r="Y104" s="19"/>
      <c r="Z104" s="19"/>
    </row>
    <row r="105" spans="1:27" ht="24.75" customHeight="1">
      <c r="A105" s="55"/>
      <c r="B105" s="19"/>
      <c r="C105" s="19"/>
      <c r="D105" s="19"/>
      <c r="E105" s="19"/>
      <c r="F105" s="55"/>
      <c r="G105" s="15"/>
      <c r="H105" s="15"/>
      <c r="I105" s="14"/>
      <c r="J105" s="56"/>
      <c r="K105" s="56"/>
      <c r="L105" s="19"/>
      <c r="M105" s="19"/>
      <c r="N105" s="56"/>
      <c r="O105" s="19"/>
      <c r="P105" s="19"/>
      <c r="Q105" s="19"/>
      <c r="R105" s="19"/>
      <c r="S105" s="19"/>
      <c r="T105" s="19"/>
      <c r="U105" s="19"/>
      <c r="V105" s="19"/>
      <c r="W105" s="19"/>
      <c r="X105" s="19"/>
      <c r="Y105" s="19"/>
      <c r="Z105" s="19"/>
    </row>
    <row r="106" spans="1:27" ht="24.75" customHeight="1">
      <c r="A106" s="55"/>
      <c r="B106" s="19"/>
      <c r="C106" s="19"/>
      <c r="D106" s="19"/>
      <c r="E106" s="19"/>
      <c r="F106" s="55"/>
      <c r="G106" s="15"/>
      <c r="H106" s="15"/>
      <c r="I106" s="14"/>
      <c r="J106" s="56"/>
      <c r="K106" s="56"/>
      <c r="L106" s="19"/>
      <c r="M106" s="19"/>
      <c r="N106" s="56"/>
      <c r="O106" s="19"/>
      <c r="P106" s="19"/>
      <c r="Q106" s="19"/>
      <c r="R106" s="19"/>
      <c r="S106" s="19"/>
      <c r="T106" s="19"/>
      <c r="U106" s="19"/>
      <c r="V106" s="19"/>
      <c r="W106" s="19"/>
      <c r="X106" s="19"/>
      <c r="Y106" s="19"/>
      <c r="Z106" s="19"/>
    </row>
    <row r="107" spans="1:27" ht="24.75" customHeight="1">
      <c r="A107" s="55"/>
      <c r="B107" s="19"/>
      <c r="C107" s="19"/>
      <c r="D107" s="19"/>
      <c r="E107" s="19"/>
      <c r="F107" s="55"/>
      <c r="G107" s="15"/>
      <c r="H107" s="15"/>
      <c r="I107" s="14"/>
      <c r="J107" s="56"/>
      <c r="K107" s="56"/>
      <c r="L107" s="19"/>
      <c r="M107" s="19"/>
      <c r="N107" s="56"/>
      <c r="O107" s="19"/>
      <c r="P107" s="19"/>
      <c r="Q107" s="19"/>
      <c r="R107" s="19"/>
      <c r="S107" s="19"/>
      <c r="T107" s="19"/>
      <c r="U107" s="19"/>
      <c r="V107" s="19"/>
      <c r="W107" s="19"/>
      <c r="X107" s="19"/>
      <c r="Y107" s="19"/>
      <c r="Z107" s="19"/>
    </row>
    <row r="108" spans="1:27" ht="24.75" customHeight="1">
      <c r="A108" s="55"/>
      <c r="B108" s="19"/>
      <c r="C108" s="19"/>
      <c r="D108" s="19"/>
      <c r="E108" s="19"/>
      <c r="F108" s="55"/>
      <c r="G108" s="15"/>
      <c r="H108" s="15"/>
      <c r="I108" s="14"/>
      <c r="J108" s="56"/>
      <c r="K108" s="56"/>
      <c r="L108" s="19"/>
      <c r="M108" s="19"/>
      <c r="N108" s="56"/>
      <c r="O108" s="19"/>
      <c r="P108" s="19"/>
      <c r="Q108" s="19"/>
      <c r="R108" s="19"/>
      <c r="S108" s="19"/>
      <c r="T108" s="19"/>
      <c r="U108" s="19"/>
      <c r="V108" s="19"/>
      <c r="W108" s="19"/>
      <c r="X108" s="19"/>
      <c r="Y108" s="19"/>
      <c r="Z108" s="19"/>
    </row>
    <row r="109" spans="1:27" ht="24.75" customHeight="1">
      <c r="A109" s="55"/>
      <c r="B109" s="19"/>
      <c r="C109" s="19"/>
      <c r="D109" s="19"/>
      <c r="E109" s="19"/>
      <c r="F109" s="55"/>
      <c r="G109" s="15"/>
      <c r="H109" s="15"/>
      <c r="I109" s="14"/>
      <c r="J109" s="56"/>
      <c r="K109" s="56"/>
      <c r="L109" s="19"/>
      <c r="M109" s="19"/>
      <c r="N109" s="56"/>
      <c r="O109" s="19"/>
      <c r="P109" s="19"/>
      <c r="Q109" s="19"/>
      <c r="R109" s="19"/>
      <c r="S109" s="19"/>
      <c r="T109" s="19"/>
      <c r="U109" s="19"/>
      <c r="V109" s="19"/>
      <c r="W109" s="19"/>
      <c r="X109" s="19"/>
      <c r="Y109" s="19"/>
      <c r="Z109" s="19"/>
    </row>
    <row r="110" spans="1:27" ht="24.75" customHeight="1">
      <c r="A110" s="55"/>
      <c r="B110" s="19"/>
      <c r="C110" s="19"/>
      <c r="D110" s="19"/>
      <c r="E110" s="19"/>
      <c r="F110" s="55"/>
      <c r="G110" s="15"/>
      <c r="H110" s="15"/>
      <c r="I110" s="14"/>
      <c r="J110" s="56"/>
      <c r="K110" s="56"/>
      <c r="L110" s="19"/>
      <c r="M110" s="19"/>
      <c r="N110" s="56"/>
      <c r="O110" s="19"/>
      <c r="P110" s="19"/>
      <c r="Q110" s="19"/>
      <c r="R110" s="19"/>
      <c r="S110" s="19"/>
      <c r="T110" s="19"/>
      <c r="U110" s="19"/>
      <c r="V110" s="19"/>
      <c r="W110" s="19"/>
      <c r="X110" s="19"/>
      <c r="Y110" s="19"/>
      <c r="Z110" s="19"/>
    </row>
    <row r="111" spans="1:27" ht="24.75" customHeight="1">
      <c r="A111" s="57"/>
      <c r="B111" s="58"/>
      <c r="C111" s="58"/>
      <c r="D111" s="58"/>
      <c r="E111" s="58"/>
      <c r="F111" s="57"/>
      <c r="G111" s="58"/>
      <c r="H111" s="58"/>
      <c r="I111" s="58"/>
      <c r="J111" s="58"/>
      <c r="L111" s="58"/>
      <c r="M111" s="58"/>
      <c r="N111" s="58"/>
      <c r="O111" s="58"/>
      <c r="P111" s="58"/>
      <c r="Q111" s="58"/>
      <c r="R111" s="58"/>
      <c r="S111" s="58"/>
      <c r="T111" s="58"/>
      <c r="U111" s="58"/>
      <c r="V111" s="58"/>
      <c r="W111" s="58"/>
      <c r="X111" s="58"/>
      <c r="Y111" s="58"/>
      <c r="Z111" s="58"/>
      <c r="AA111" s="58"/>
    </row>
    <row r="112" spans="1:27" ht="24.75" customHeight="1">
      <c r="A112" s="57"/>
      <c r="B112" s="58"/>
      <c r="C112" s="58"/>
      <c r="D112" s="58"/>
      <c r="E112" s="58"/>
      <c r="F112" s="57"/>
      <c r="G112" s="58"/>
      <c r="H112" s="58"/>
      <c r="I112" s="58"/>
      <c r="J112" s="58"/>
      <c r="L112" s="58"/>
      <c r="M112" s="58"/>
      <c r="N112" s="58"/>
      <c r="O112" s="58"/>
      <c r="P112" s="58"/>
      <c r="Q112" s="58"/>
      <c r="R112" s="58"/>
      <c r="S112" s="58"/>
      <c r="T112" s="58"/>
      <c r="U112" s="58"/>
      <c r="V112" s="58"/>
      <c r="W112" s="58"/>
      <c r="X112" s="58"/>
      <c r="Y112" s="58"/>
      <c r="Z112" s="58"/>
      <c r="AA112" s="58"/>
    </row>
    <row r="113" spans="1:27" ht="24.75" customHeight="1">
      <c r="A113" s="57"/>
      <c r="B113" s="58"/>
      <c r="C113" s="58"/>
      <c r="D113" s="58"/>
      <c r="E113" s="58"/>
      <c r="F113" s="57"/>
      <c r="G113" s="58"/>
      <c r="H113" s="58"/>
      <c r="I113" s="58"/>
      <c r="J113" s="58"/>
      <c r="L113" s="58"/>
      <c r="M113" s="58"/>
      <c r="N113" s="58"/>
      <c r="O113" s="58"/>
      <c r="P113" s="58"/>
      <c r="Q113" s="58"/>
      <c r="R113" s="58"/>
      <c r="S113" s="58"/>
      <c r="T113" s="58"/>
      <c r="U113" s="58"/>
      <c r="V113" s="58"/>
      <c r="W113" s="58"/>
      <c r="X113" s="58"/>
      <c r="Y113" s="58"/>
      <c r="Z113" s="58"/>
      <c r="AA113" s="58"/>
    </row>
    <row r="114" spans="1:27" ht="24.75" customHeight="1">
      <c r="A114" s="57"/>
      <c r="B114" s="58"/>
      <c r="C114" s="58"/>
      <c r="D114" s="58"/>
      <c r="E114" s="58"/>
      <c r="F114" s="57"/>
      <c r="G114" s="58"/>
      <c r="H114" s="58"/>
      <c r="I114" s="58"/>
      <c r="J114" s="58"/>
      <c r="L114" s="58"/>
      <c r="M114" s="58"/>
      <c r="N114" s="58"/>
      <c r="O114" s="58"/>
      <c r="P114" s="58"/>
      <c r="Q114" s="58"/>
      <c r="R114" s="58"/>
      <c r="S114" s="58"/>
      <c r="T114" s="58"/>
      <c r="U114" s="58"/>
      <c r="V114" s="58"/>
      <c r="W114" s="58"/>
      <c r="X114" s="58"/>
      <c r="Y114" s="58"/>
      <c r="Z114" s="58"/>
      <c r="AA114" s="58"/>
    </row>
    <row r="115" spans="1:27" ht="24.75" customHeight="1">
      <c r="A115" s="57"/>
      <c r="B115" s="58"/>
      <c r="C115" s="58"/>
      <c r="D115" s="58"/>
      <c r="E115" s="58"/>
      <c r="F115" s="57"/>
      <c r="G115" s="58"/>
      <c r="H115" s="58"/>
      <c r="I115" s="58"/>
      <c r="J115" s="58"/>
      <c r="L115" s="58"/>
      <c r="M115" s="58"/>
      <c r="N115" s="58"/>
      <c r="O115" s="58"/>
      <c r="P115" s="58"/>
      <c r="Q115" s="58"/>
      <c r="R115" s="58"/>
      <c r="S115" s="58"/>
      <c r="T115" s="58"/>
      <c r="U115" s="58"/>
      <c r="V115" s="58"/>
      <c r="W115" s="58"/>
      <c r="X115" s="58"/>
      <c r="Y115" s="58"/>
      <c r="Z115" s="58"/>
      <c r="AA115" s="58"/>
    </row>
    <row r="116" spans="1:27" ht="24.75" customHeight="1">
      <c r="A116" s="57"/>
      <c r="B116" s="58"/>
      <c r="C116" s="58"/>
      <c r="D116" s="58"/>
      <c r="E116" s="58"/>
      <c r="F116" s="57"/>
      <c r="G116" s="58"/>
      <c r="H116" s="58"/>
      <c r="I116" s="58"/>
      <c r="J116" s="58"/>
      <c r="L116" s="58"/>
      <c r="M116" s="58"/>
      <c r="N116" s="58"/>
      <c r="O116" s="58"/>
      <c r="P116" s="58"/>
      <c r="Q116" s="58"/>
      <c r="R116" s="58"/>
      <c r="S116" s="58"/>
      <c r="T116" s="58"/>
      <c r="U116" s="58"/>
      <c r="V116" s="58"/>
      <c r="W116" s="58"/>
      <c r="X116" s="58"/>
      <c r="Y116" s="58"/>
      <c r="Z116" s="58"/>
      <c r="AA116" s="58"/>
    </row>
    <row r="117" spans="1:27" ht="24.75" customHeight="1">
      <c r="A117" s="57"/>
      <c r="B117" s="58"/>
      <c r="C117" s="58"/>
      <c r="D117" s="58"/>
      <c r="E117" s="58"/>
      <c r="F117" s="57"/>
      <c r="G117" s="58"/>
      <c r="H117" s="58"/>
      <c r="I117" s="58"/>
      <c r="J117" s="58"/>
      <c r="L117" s="58"/>
      <c r="M117" s="58"/>
      <c r="N117" s="58"/>
      <c r="O117" s="58"/>
      <c r="P117" s="58"/>
      <c r="Q117" s="58"/>
      <c r="R117" s="58"/>
      <c r="S117" s="58"/>
      <c r="T117" s="58"/>
      <c r="U117" s="58"/>
      <c r="V117" s="58"/>
      <c r="W117" s="58"/>
      <c r="X117" s="58"/>
      <c r="Y117" s="58"/>
      <c r="Z117" s="58"/>
      <c r="AA117" s="58"/>
    </row>
    <row r="118" spans="1:27" ht="24.75" customHeight="1">
      <c r="A118" s="57"/>
      <c r="B118" s="58"/>
      <c r="C118" s="58"/>
      <c r="D118" s="58"/>
      <c r="E118" s="58"/>
      <c r="F118" s="57"/>
      <c r="G118" s="58"/>
      <c r="H118" s="58"/>
      <c r="I118" s="58"/>
      <c r="J118" s="58"/>
      <c r="L118" s="58"/>
      <c r="M118" s="58"/>
      <c r="N118" s="58"/>
      <c r="O118" s="58"/>
      <c r="P118" s="58"/>
      <c r="Q118" s="58"/>
      <c r="R118" s="58"/>
      <c r="S118" s="58"/>
      <c r="T118" s="58"/>
      <c r="U118" s="58"/>
      <c r="V118" s="58"/>
      <c r="W118" s="58"/>
      <c r="X118" s="58"/>
      <c r="Y118" s="58"/>
      <c r="Z118" s="58"/>
      <c r="AA118" s="58"/>
    </row>
    <row r="119" spans="1:27" ht="24.75" customHeight="1">
      <c r="A119" s="57"/>
      <c r="B119" s="58"/>
      <c r="C119" s="58"/>
      <c r="D119" s="58"/>
      <c r="E119" s="58"/>
      <c r="F119" s="57"/>
      <c r="G119" s="58"/>
      <c r="H119" s="58"/>
      <c r="I119" s="58"/>
      <c r="J119" s="58"/>
      <c r="L119" s="58"/>
      <c r="M119" s="58"/>
      <c r="N119" s="58"/>
      <c r="O119" s="58"/>
      <c r="P119" s="58"/>
      <c r="Q119" s="58"/>
      <c r="R119" s="58"/>
      <c r="S119" s="58"/>
      <c r="T119" s="58"/>
      <c r="U119" s="58"/>
      <c r="V119" s="58"/>
      <c r="W119" s="58"/>
      <c r="X119" s="58"/>
      <c r="Y119" s="58"/>
      <c r="Z119" s="58"/>
      <c r="AA119" s="58"/>
    </row>
    <row r="120" spans="1:27" ht="24.75" customHeight="1">
      <c r="A120" s="57"/>
      <c r="B120" s="58"/>
      <c r="C120" s="58"/>
      <c r="D120" s="58"/>
      <c r="E120" s="58"/>
      <c r="F120" s="57"/>
      <c r="G120" s="58"/>
      <c r="H120" s="58"/>
      <c r="I120" s="58"/>
      <c r="J120" s="58"/>
      <c r="L120" s="58"/>
      <c r="M120" s="58"/>
      <c r="N120" s="58"/>
      <c r="O120" s="58"/>
      <c r="P120" s="58"/>
      <c r="Q120" s="58"/>
      <c r="R120" s="58"/>
      <c r="S120" s="58"/>
      <c r="T120" s="58"/>
      <c r="U120" s="58"/>
      <c r="V120" s="58"/>
      <c r="W120" s="58"/>
      <c r="X120" s="58"/>
      <c r="Y120" s="58"/>
      <c r="Z120" s="58"/>
      <c r="AA120" s="58"/>
    </row>
    <row r="121" spans="1:27" ht="24.75" customHeight="1">
      <c r="A121" s="57"/>
      <c r="B121" s="58"/>
      <c r="C121" s="58"/>
      <c r="D121" s="58"/>
      <c r="E121" s="58"/>
      <c r="F121" s="57"/>
      <c r="G121" s="58"/>
      <c r="H121" s="58"/>
      <c r="I121" s="58"/>
      <c r="J121" s="58"/>
      <c r="L121" s="58"/>
      <c r="M121" s="58"/>
      <c r="N121" s="58"/>
      <c r="O121" s="58"/>
      <c r="P121" s="58"/>
      <c r="Q121" s="58"/>
      <c r="R121" s="58"/>
      <c r="S121" s="58"/>
      <c r="T121" s="58"/>
      <c r="U121" s="58"/>
      <c r="V121" s="58"/>
      <c r="W121" s="58"/>
      <c r="X121" s="58"/>
      <c r="Y121" s="58"/>
      <c r="Z121" s="58"/>
      <c r="AA121" s="58"/>
    </row>
    <row r="122" spans="1:27" ht="24.75" customHeight="1">
      <c r="A122" s="57"/>
      <c r="B122" s="58"/>
      <c r="C122" s="58"/>
      <c r="D122" s="58"/>
      <c r="E122" s="58"/>
      <c r="F122" s="57"/>
      <c r="G122" s="58"/>
      <c r="H122" s="58"/>
      <c r="I122" s="58"/>
      <c r="J122" s="58"/>
      <c r="L122" s="58"/>
      <c r="M122" s="58"/>
      <c r="N122" s="58"/>
      <c r="O122" s="58"/>
      <c r="P122" s="58"/>
      <c r="Q122" s="58"/>
      <c r="R122" s="58"/>
      <c r="S122" s="58"/>
      <c r="T122" s="58"/>
      <c r="U122" s="58"/>
      <c r="V122" s="58"/>
      <c r="W122" s="58"/>
      <c r="X122" s="58"/>
      <c r="Y122" s="58"/>
      <c r="Z122" s="58"/>
      <c r="AA122" s="58"/>
    </row>
    <row r="123" spans="1:27" ht="24.75" customHeight="1">
      <c r="A123" s="57"/>
      <c r="B123" s="58"/>
      <c r="C123" s="58"/>
      <c r="D123" s="58"/>
      <c r="E123" s="58"/>
      <c r="F123" s="57"/>
      <c r="G123" s="58"/>
      <c r="H123" s="58"/>
      <c r="I123" s="58"/>
      <c r="J123" s="58"/>
      <c r="L123" s="58"/>
      <c r="M123" s="58"/>
      <c r="N123" s="58"/>
      <c r="O123" s="58"/>
      <c r="P123" s="58"/>
      <c r="Q123" s="58"/>
      <c r="R123" s="58"/>
      <c r="S123" s="58"/>
      <c r="T123" s="58"/>
      <c r="U123" s="58"/>
      <c r="V123" s="58"/>
      <c r="W123" s="58"/>
      <c r="X123" s="58"/>
      <c r="Y123" s="58"/>
      <c r="Z123" s="58"/>
      <c r="AA123" s="58"/>
    </row>
    <row r="124" spans="1:27" ht="24.75" customHeight="1">
      <c r="A124" s="57"/>
      <c r="B124" s="58"/>
      <c r="C124" s="58"/>
      <c r="D124" s="58"/>
      <c r="E124" s="58"/>
      <c r="F124" s="57"/>
      <c r="G124" s="58"/>
      <c r="H124" s="58"/>
      <c r="I124" s="58"/>
      <c r="J124" s="58"/>
      <c r="L124" s="58"/>
      <c r="M124" s="58"/>
      <c r="N124" s="58"/>
      <c r="O124" s="58"/>
      <c r="P124" s="58"/>
      <c r="Q124" s="58"/>
      <c r="R124" s="58"/>
      <c r="S124" s="58"/>
      <c r="T124" s="58"/>
      <c r="U124" s="58"/>
      <c r="V124" s="58"/>
      <c r="W124" s="58"/>
      <c r="X124" s="58"/>
      <c r="Y124" s="58"/>
      <c r="Z124" s="58"/>
      <c r="AA124" s="58"/>
    </row>
    <row r="125" spans="1:27" ht="24.75" customHeight="1">
      <c r="A125" s="57"/>
      <c r="B125" s="58"/>
      <c r="C125" s="58"/>
      <c r="D125" s="58"/>
      <c r="E125" s="58"/>
      <c r="F125" s="57"/>
      <c r="G125" s="58"/>
      <c r="H125" s="58"/>
      <c r="I125" s="58"/>
      <c r="J125" s="58"/>
      <c r="L125" s="58"/>
      <c r="M125" s="58"/>
      <c r="N125" s="58"/>
      <c r="O125" s="58"/>
      <c r="P125" s="58"/>
      <c r="Q125" s="58"/>
      <c r="R125" s="58"/>
      <c r="S125" s="58"/>
      <c r="T125" s="58"/>
      <c r="U125" s="58"/>
      <c r="V125" s="58"/>
      <c r="W125" s="58"/>
      <c r="X125" s="58"/>
      <c r="Y125" s="58"/>
      <c r="Z125" s="58"/>
      <c r="AA125" s="58"/>
    </row>
    <row r="126" spans="1:27" ht="24.75" customHeight="1">
      <c r="A126" s="57"/>
      <c r="B126" s="58"/>
      <c r="C126" s="58"/>
      <c r="D126" s="58"/>
      <c r="E126" s="58"/>
      <c r="F126" s="57"/>
      <c r="G126" s="58"/>
      <c r="H126" s="58"/>
      <c r="I126" s="58"/>
      <c r="J126" s="58"/>
      <c r="L126" s="58"/>
      <c r="M126" s="58"/>
      <c r="N126" s="58"/>
      <c r="O126" s="58"/>
      <c r="P126" s="58"/>
      <c r="Q126" s="58"/>
      <c r="R126" s="58"/>
      <c r="S126" s="58"/>
      <c r="T126" s="58"/>
      <c r="U126" s="58"/>
      <c r="V126" s="58"/>
      <c r="W126" s="58"/>
      <c r="X126" s="58"/>
      <c r="Y126" s="58"/>
      <c r="Z126" s="58"/>
      <c r="AA126" s="58"/>
    </row>
    <row r="127" spans="1:27" ht="24.75" customHeight="1">
      <c r="A127" s="57"/>
      <c r="B127" s="58"/>
      <c r="C127" s="58"/>
      <c r="D127" s="58"/>
      <c r="E127" s="58"/>
      <c r="F127" s="57"/>
      <c r="G127" s="58"/>
      <c r="H127" s="58"/>
      <c r="I127" s="58"/>
      <c r="J127" s="58"/>
      <c r="L127" s="58"/>
      <c r="M127" s="58"/>
      <c r="N127" s="58"/>
      <c r="O127" s="58"/>
      <c r="P127" s="58"/>
      <c r="Q127" s="58"/>
      <c r="R127" s="58"/>
      <c r="S127" s="58"/>
      <c r="T127" s="58"/>
      <c r="U127" s="58"/>
      <c r="V127" s="58"/>
      <c r="W127" s="58"/>
      <c r="X127" s="58"/>
      <c r="Y127" s="58"/>
      <c r="Z127" s="58"/>
      <c r="AA127" s="58"/>
    </row>
    <row r="128" spans="1:27" ht="24.75" customHeight="1">
      <c r="A128" s="57"/>
      <c r="B128" s="58"/>
      <c r="C128" s="58"/>
      <c r="D128" s="58"/>
      <c r="E128" s="58"/>
      <c r="F128" s="57"/>
      <c r="G128" s="58"/>
      <c r="H128" s="58"/>
      <c r="I128" s="58"/>
      <c r="J128" s="58"/>
      <c r="L128" s="58"/>
      <c r="M128" s="58"/>
      <c r="N128" s="58"/>
      <c r="O128" s="58"/>
      <c r="P128" s="58"/>
      <c r="Q128" s="58"/>
      <c r="R128" s="58"/>
      <c r="S128" s="58"/>
      <c r="T128" s="58"/>
      <c r="U128" s="58"/>
      <c r="V128" s="58"/>
      <c r="W128" s="58"/>
      <c r="X128" s="58"/>
      <c r="Y128" s="58"/>
      <c r="Z128" s="58"/>
      <c r="AA128" s="58"/>
    </row>
    <row r="129" spans="1:27" ht="24.75" customHeight="1">
      <c r="A129" s="57"/>
      <c r="B129" s="58"/>
      <c r="C129" s="58"/>
      <c r="D129" s="58"/>
      <c r="E129" s="58"/>
      <c r="F129" s="57"/>
      <c r="G129" s="58"/>
      <c r="H129" s="58"/>
      <c r="I129" s="58"/>
      <c r="J129" s="58"/>
      <c r="L129" s="58"/>
      <c r="M129" s="58"/>
      <c r="N129" s="58"/>
      <c r="O129" s="58"/>
      <c r="P129" s="58"/>
      <c r="Q129" s="58"/>
      <c r="R129" s="58"/>
      <c r="S129" s="58"/>
      <c r="T129" s="58"/>
      <c r="U129" s="58"/>
      <c r="V129" s="58"/>
      <c r="W129" s="58"/>
      <c r="X129" s="58"/>
      <c r="Y129" s="58"/>
      <c r="Z129" s="58"/>
      <c r="AA129" s="58"/>
    </row>
    <row r="130" spans="1:27" ht="24.75" customHeight="1">
      <c r="A130" s="57"/>
      <c r="B130" s="58"/>
      <c r="C130" s="58"/>
      <c r="D130" s="58"/>
      <c r="E130" s="58"/>
      <c r="F130" s="57"/>
      <c r="G130" s="58"/>
      <c r="H130" s="58"/>
      <c r="I130" s="58"/>
      <c r="J130" s="58"/>
      <c r="L130" s="58"/>
      <c r="M130" s="58"/>
      <c r="N130" s="58"/>
      <c r="O130" s="58"/>
      <c r="P130" s="58"/>
      <c r="Q130" s="58"/>
      <c r="R130" s="58"/>
      <c r="S130" s="58"/>
      <c r="T130" s="58"/>
      <c r="U130" s="58"/>
      <c r="V130" s="58"/>
      <c r="W130" s="58"/>
      <c r="X130" s="58"/>
      <c r="Y130" s="58"/>
      <c r="Z130" s="58"/>
      <c r="AA130" s="58"/>
    </row>
    <row r="131" spans="1:27" ht="24.75" customHeight="1">
      <c r="A131" s="57"/>
      <c r="B131" s="58"/>
      <c r="C131" s="58"/>
      <c r="D131" s="58"/>
      <c r="E131" s="58"/>
      <c r="F131" s="57"/>
      <c r="G131" s="58"/>
      <c r="H131" s="58"/>
      <c r="I131" s="58"/>
      <c r="J131" s="58"/>
      <c r="L131" s="58"/>
      <c r="M131" s="58"/>
      <c r="N131" s="58"/>
      <c r="O131" s="58"/>
      <c r="P131" s="58"/>
      <c r="Q131" s="58"/>
      <c r="R131" s="58"/>
      <c r="S131" s="58"/>
      <c r="T131" s="58"/>
      <c r="U131" s="58"/>
      <c r="V131" s="58"/>
      <c r="W131" s="58"/>
      <c r="X131" s="58"/>
      <c r="Y131" s="58"/>
      <c r="Z131" s="58"/>
      <c r="AA131" s="58"/>
    </row>
    <row r="132" spans="1:27" ht="24.75" customHeight="1">
      <c r="A132" s="57"/>
      <c r="B132" s="58"/>
      <c r="C132" s="58"/>
      <c r="D132" s="58"/>
      <c r="E132" s="58"/>
      <c r="F132" s="57"/>
      <c r="G132" s="58"/>
      <c r="H132" s="58"/>
      <c r="I132" s="58"/>
      <c r="J132" s="58"/>
      <c r="L132" s="58"/>
      <c r="M132" s="58"/>
      <c r="N132" s="58"/>
      <c r="O132" s="58"/>
      <c r="P132" s="58"/>
      <c r="Q132" s="58"/>
      <c r="R132" s="58"/>
      <c r="S132" s="58"/>
      <c r="T132" s="58"/>
      <c r="U132" s="58"/>
      <c r="V132" s="58"/>
      <c r="W132" s="58"/>
      <c r="X132" s="58"/>
      <c r="Y132" s="58"/>
      <c r="Z132" s="58"/>
      <c r="AA132" s="58"/>
    </row>
    <row r="133" spans="1:27" ht="24.75" customHeight="1">
      <c r="A133" s="57"/>
      <c r="B133" s="58"/>
      <c r="C133" s="58"/>
      <c r="D133" s="58"/>
      <c r="E133" s="58"/>
      <c r="F133" s="57"/>
      <c r="G133" s="58"/>
      <c r="H133" s="58"/>
      <c r="I133" s="58"/>
      <c r="J133" s="58"/>
      <c r="L133" s="58"/>
      <c r="M133" s="58"/>
      <c r="N133" s="58"/>
      <c r="O133" s="58"/>
      <c r="P133" s="58"/>
      <c r="Q133" s="58"/>
      <c r="R133" s="58"/>
      <c r="S133" s="58"/>
      <c r="T133" s="58"/>
      <c r="U133" s="58"/>
      <c r="V133" s="58"/>
      <c r="W133" s="58"/>
      <c r="X133" s="58"/>
      <c r="Y133" s="58"/>
      <c r="Z133" s="58"/>
      <c r="AA133" s="58"/>
    </row>
    <row r="134" spans="1:27" ht="24.75" customHeight="1">
      <c r="A134" s="57"/>
      <c r="B134" s="58"/>
      <c r="C134" s="58"/>
      <c r="D134" s="58"/>
      <c r="E134" s="58"/>
      <c r="F134" s="57"/>
      <c r="G134" s="58"/>
      <c r="H134" s="58"/>
      <c r="I134" s="58"/>
      <c r="J134" s="58"/>
      <c r="L134" s="58"/>
      <c r="M134" s="58"/>
      <c r="N134" s="58"/>
      <c r="O134" s="58"/>
      <c r="P134" s="58"/>
      <c r="Q134" s="58"/>
      <c r="R134" s="58"/>
      <c r="S134" s="58"/>
      <c r="T134" s="58"/>
      <c r="U134" s="58"/>
      <c r="V134" s="58"/>
      <c r="W134" s="58"/>
      <c r="X134" s="58"/>
      <c r="Y134" s="58"/>
      <c r="Z134" s="58"/>
      <c r="AA134" s="58"/>
    </row>
    <row r="135" spans="1:27" ht="24.75" customHeight="1">
      <c r="A135" s="57"/>
      <c r="B135" s="58"/>
      <c r="C135" s="58"/>
      <c r="D135" s="58"/>
      <c r="E135" s="58"/>
      <c r="F135" s="57"/>
      <c r="G135" s="58"/>
      <c r="H135" s="58"/>
      <c r="I135" s="58"/>
      <c r="J135" s="58"/>
      <c r="L135" s="58"/>
      <c r="M135" s="58"/>
      <c r="N135" s="58"/>
      <c r="O135" s="58"/>
      <c r="P135" s="58"/>
      <c r="Q135" s="58"/>
      <c r="R135" s="58"/>
      <c r="S135" s="58"/>
      <c r="T135" s="58"/>
      <c r="U135" s="58"/>
      <c r="V135" s="58"/>
      <c r="W135" s="58"/>
      <c r="X135" s="58"/>
      <c r="Y135" s="58"/>
      <c r="Z135" s="58"/>
      <c r="AA135" s="58"/>
    </row>
    <row r="136" spans="1:27" ht="24.75" customHeight="1">
      <c r="A136" s="57"/>
      <c r="B136" s="58"/>
      <c r="C136" s="58"/>
      <c r="D136" s="58"/>
      <c r="E136" s="58"/>
      <c r="F136" s="57"/>
      <c r="G136" s="58"/>
      <c r="H136" s="58"/>
      <c r="I136" s="58"/>
      <c r="J136" s="58"/>
      <c r="L136" s="58"/>
      <c r="M136" s="58"/>
      <c r="N136" s="58"/>
      <c r="O136" s="58"/>
      <c r="P136" s="58"/>
      <c r="Q136" s="58"/>
      <c r="R136" s="58"/>
      <c r="S136" s="58"/>
      <c r="T136" s="58"/>
      <c r="U136" s="58"/>
      <c r="V136" s="58"/>
      <c r="W136" s="58"/>
      <c r="X136" s="58"/>
      <c r="Y136" s="58"/>
      <c r="Z136" s="58"/>
      <c r="AA136" s="58"/>
    </row>
    <row r="137" spans="1:27" ht="24.75" customHeight="1">
      <c r="A137" s="57"/>
      <c r="B137" s="58"/>
      <c r="C137" s="58"/>
      <c r="D137" s="58"/>
      <c r="E137" s="58"/>
      <c r="F137" s="57"/>
      <c r="G137" s="58"/>
      <c r="H137" s="58"/>
      <c r="I137" s="58"/>
      <c r="J137" s="58"/>
      <c r="L137" s="58"/>
      <c r="M137" s="58"/>
      <c r="N137" s="58"/>
      <c r="O137" s="58"/>
      <c r="P137" s="58"/>
      <c r="Q137" s="58"/>
      <c r="R137" s="58"/>
      <c r="S137" s="58"/>
      <c r="T137" s="58"/>
      <c r="U137" s="58"/>
      <c r="V137" s="58"/>
      <c r="W137" s="58"/>
      <c r="X137" s="58"/>
      <c r="Y137" s="58"/>
      <c r="Z137" s="58"/>
      <c r="AA137" s="58"/>
    </row>
    <row r="138" spans="1:27" ht="24.75" customHeight="1">
      <c r="A138" s="57"/>
      <c r="B138" s="58"/>
      <c r="C138" s="58"/>
      <c r="D138" s="58"/>
      <c r="E138" s="58"/>
      <c r="F138" s="57"/>
      <c r="G138" s="58"/>
      <c r="H138" s="58"/>
      <c r="I138" s="58"/>
      <c r="J138" s="58"/>
      <c r="L138" s="58"/>
      <c r="M138" s="58"/>
      <c r="N138" s="58"/>
      <c r="O138" s="58"/>
      <c r="P138" s="58"/>
      <c r="Q138" s="58"/>
      <c r="R138" s="58"/>
      <c r="S138" s="58"/>
      <c r="T138" s="58"/>
      <c r="U138" s="58"/>
      <c r="V138" s="58"/>
      <c r="W138" s="58"/>
      <c r="X138" s="58"/>
      <c r="Y138" s="58"/>
      <c r="Z138" s="58"/>
      <c r="AA138" s="58"/>
    </row>
    <row r="139" spans="1:27" ht="24.75" customHeight="1">
      <c r="A139" s="57"/>
      <c r="B139" s="58"/>
      <c r="C139" s="58"/>
      <c r="D139" s="58"/>
      <c r="E139" s="58"/>
      <c r="F139" s="57"/>
      <c r="G139" s="58"/>
      <c r="H139" s="58"/>
      <c r="I139" s="58"/>
      <c r="J139" s="58"/>
      <c r="L139" s="58"/>
      <c r="M139" s="58"/>
      <c r="N139" s="58"/>
      <c r="O139" s="58"/>
      <c r="P139" s="58"/>
      <c r="Q139" s="58"/>
      <c r="R139" s="58"/>
      <c r="S139" s="58"/>
      <c r="T139" s="58"/>
      <c r="U139" s="58"/>
      <c r="V139" s="58"/>
      <c r="W139" s="58"/>
      <c r="X139" s="58"/>
      <c r="Y139" s="58"/>
      <c r="Z139" s="58"/>
      <c r="AA139" s="58"/>
    </row>
    <row r="140" spans="1:27" ht="24.75" customHeight="1">
      <c r="A140" s="57"/>
      <c r="B140" s="58"/>
      <c r="C140" s="58"/>
      <c r="D140" s="58"/>
      <c r="E140" s="58"/>
      <c r="F140" s="57"/>
      <c r="G140" s="58"/>
      <c r="H140" s="58"/>
      <c r="I140" s="58"/>
      <c r="J140" s="58"/>
      <c r="L140" s="58"/>
      <c r="M140" s="58"/>
      <c r="N140" s="58"/>
      <c r="O140" s="58"/>
      <c r="P140" s="58"/>
      <c r="Q140" s="58"/>
      <c r="R140" s="58"/>
      <c r="S140" s="58"/>
      <c r="T140" s="58"/>
      <c r="U140" s="58"/>
      <c r="V140" s="58"/>
      <c r="W140" s="58"/>
      <c r="X140" s="58"/>
      <c r="Y140" s="58"/>
      <c r="Z140" s="58"/>
      <c r="AA140" s="58"/>
    </row>
    <row r="141" spans="1:27" ht="24.75" customHeight="1">
      <c r="A141" s="57"/>
      <c r="B141" s="58"/>
      <c r="C141" s="58"/>
      <c r="D141" s="58"/>
      <c r="E141" s="58"/>
      <c r="F141" s="57"/>
      <c r="G141" s="58"/>
      <c r="H141" s="58"/>
      <c r="I141" s="58"/>
      <c r="J141" s="58"/>
      <c r="L141" s="58"/>
      <c r="M141" s="58"/>
      <c r="N141" s="58"/>
      <c r="O141" s="58"/>
      <c r="P141" s="58"/>
      <c r="Q141" s="58"/>
      <c r="R141" s="58"/>
      <c r="S141" s="58"/>
      <c r="T141" s="58"/>
      <c r="U141" s="58"/>
      <c r="V141" s="58"/>
      <c r="W141" s="58"/>
      <c r="X141" s="58"/>
      <c r="Y141" s="58"/>
      <c r="Z141" s="58"/>
      <c r="AA141" s="58"/>
    </row>
    <row r="142" spans="1:27" ht="24.75" customHeight="1">
      <c r="A142" s="57"/>
      <c r="B142" s="58"/>
      <c r="C142" s="58"/>
      <c r="D142" s="58"/>
      <c r="E142" s="58"/>
      <c r="F142" s="57"/>
      <c r="G142" s="58"/>
      <c r="H142" s="58"/>
      <c r="I142" s="58"/>
      <c r="J142" s="58"/>
      <c r="L142" s="58"/>
      <c r="M142" s="58"/>
      <c r="N142" s="58"/>
      <c r="O142" s="58"/>
      <c r="P142" s="58"/>
      <c r="Q142" s="58"/>
      <c r="R142" s="58"/>
      <c r="S142" s="58"/>
      <c r="T142" s="58"/>
      <c r="U142" s="58"/>
      <c r="V142" s="58"/>
      <c r="W142" s="58"/>
      <c r="X142" s="58"/>
      <c r="Y142" s="58"/>
      <c r="Z142" s="58"/>
      <c r="AA142" s="58"/>
    </row>
    <row r="143" spans="1:27" ht="24.75" customHeight="1">
      <c r="A143" s="57"/>
      <c r="B143" s="58"/>
      <c r="C143" s="58"/>
      <c r="D143" s="58"/>
      <c r="E143" s="58"/>
      <c r="F143" s="57"/>
      <c r="G143" s="58"/>
      <c r="H143" s="58"/>
      <c r="I143" s="58"/>
      <c r="J143" s="58"/>
      <c r="L143" s="58"/>
      <c r="M143" s="58"/>
      <c r="N143" s="58"/>
      <c r="O143" s="58"/>
      <c r="P143" s="58"/>
      <c r="Q143" s="58"/>
      <c r="R143" s="58"/>
      <c r="S143" s="58"/>
      <c r="T143" s="58"/>
      <c r="U143" s="58"/>
      <c r="V143" s="58"/>
      <c r="W143" s="58"/>
      <c r="X143" s="58"/>
      <c r="Y143" s="58"/>
      <c r="Z143" s="58"/>
      <c r="AA143" s="58"/>
    </row>
    <row r="144" spans="1:27" ht="24.75" customHeight="1">
      <c r="A144" s="57"/>
      <c r="B144" s="58"/>
      <c r="C144" s="58"/>
      <c r="D144" s="58"/>
      <c r="E144" s="58"/>
      <c r="F144" s="57"/>
      <c r="G144" s="58"/>
      <c r="H144" s="58"/>
      <c r="I144" s="58"/>
      <c r="J144" s="58"/>
      <c r="L144" s="58"/>
      <c r="M144" s="58"/>
      <c r="N144" s="58"/>
      <c r="O144" s="58"/>
      <c r="P144" s="58"/>
      <c r="Q144" s="58"/>
      <c r="R144" s="58"/>
      <c r="S144" s="58"/>
      <c r="T144" s="58"/>
      <c r="U144" s="58"/>
      <c r="V144" s="58"/>
      <c r="W144" s="58"/>
      <c r="X144" s="58"/>
      <c r="Y144" s="58"/>
      <c r="Z144" s="58"/>
      <c r="AA144" s="58"/>
    </row>
    <row r="145" spans="1:27" ht="24.75" customHeight="1">
      <c r="A145" s="57"/>
      <c r="B145" s="58"/>
      <c r="C145" s="58"/>
      <c r="D145" s="58"/>
      <c r="E145" s="58"/>
      <c r="F145" s="57"/>
      <c r="G145" s="58"/>
      <c r="H145" s="58"/>
      <c r="I145" s="58"/>
      <c r="J145" s="58"/>
      <c r="L145" s="58"/>
      <c r="M145" s="58"/>
      <c r="N145" s="58"/>
      <c r="O145" s="58"/>
      <c r="P145" s="58"/>
      <c r="Q145" s="58"/>
      <c r="R145" s="58"/>
      <c r="S145" s="58"/>
      <c r="T145" s="58"/>
      <c r="U145" s="58"/>
      <c r="V145" s="58"/>
      <c r="W145" s="58"/>
      <c r="X145" s="58"/>
      <c r="Y145" s="58"/>
      <c r="Z145" s="58"/>
      <c r="AA145" s="58"/>
    </row>
    <row r="146" spans="1:27" ht="24.75" customHeight="1">
      <c r="A146" s="57"/>
      <c r="B146" s="58"/>
      <c r="C146" s="58"/>
      <c r="D146" s="58"/>
      <c r="E146" s="58"/>
      <c r="F146" s="57"/>
      <c r="G146" s="58"/>
      <c r="H146" s="58"/>
      <c r="I146" s="58"/>
      <c r="J146" s="58"/>
      <c r="L146" s="58"/>
      <c r="M146" s="58"/>
      <c r="N146" s="58"/>
      <c r="O146" s="58"/>
      <c r="P146" s="58"/>
      <c r="Q146" s="58"/>
      <c r="R146" s="58"/>
      <c r="S146" s="58"/>
      <c r="T146" s="58"/>
      <c r="U146" s="58"/>
      <c r="V146" s="58"/>
      <c r="W146" s="58"/>
      <c r="X146" s="58"/>
      <c r="Y146" s="58"/>
      <c r="Z146" s="58"/>
      <c r="AA146" s="58"/>
    </row>
    <row r="147" spans="1:27" ht="24.75" customHeight="1">
      <c r="A147" s="57"/>
      <c r="B147" s="58"/>
      <c r="C147" s="58"/>
      <c r="D147" s="58"/>
      <c r="E147" s="58"/>
      <c r="F147" s="57"/>
      <c r="G147" s="58"/>
      <c r="H147" s="58"/>
      <c r="I147" s="58"/>
      <c r="J147" s="58"/>
      <c r="L147" s="58"/>
      <c r="M147" s="58"/>
      <c r="N147" s="58"/>
      <c r="O147" s="58"/>
      <c r="P147" s="58"/>
      <c r="Q147" s="58"/>
      <c r="R147" s="58"/>
      <c r="S147" s="58"/>
      <c r="T147" s="58"/>
      <c r="U147" s="58"/>
      <c r="V147" s="58"/>
      <c r="W147" s="58"/>
      <c r="X147" s="58"/>
      <c r="Y147" s="58"/>
      <c r="Z147" s="58"/>
      <c r="AA147" s="58"/>
    </row>
    <row r="148" spans="1:27" ht="24.75" customHeight="1">
      <c r="A148" s="57"/>
      <c r="B148" s="58"/>
      <c r="C148" s="58"/>
      <c r="D148" s="58"/>
      <c r="E148" s="58"/>
      <c r="F148" s="57"/>
      <c r="G148" s="58"/>
      <c r="H148" s="58"/>
      <c r="I148" s="58"/>
      <c r="J148" s="58"/>
      <c r="L148" s="58"/>
      <c r="M148" s="58"/>
      <c r="N148" s="58"/>
      <c r="O148" s="58"/>
      <c r="P148" s="58"/>
      <c r="Q148" s="58"/>
      <c r="R148" s="58"/>
      <c r="S148" s="58"/>
      <c r="T148" s="58"/>
      <c r="U148" s="58"/>
      <c r="V148" s="58"/>
      <c r="W148" s="58"/>
      <c r="X148" s="58"/>
      <c r="Y148" s="58"/>
      <c r="Z148" s="58"/>
      <c r="AA148" s="58"/>
    </row>
    <row r="149" spans="1:27" ht="24.75" customHeight="1">
      <c r="A149" s="57"/>
      <c r="B149" s="58"/>
      <c r="C149" s="58"/>
      <c r="D149" s="58"/>
      <c r="E149" s="58"/>
      <c r="F149" s="57"/>
      <c r="G149" s="58"/>
      <c r="H149" s="58"/>
      <c r="I149" s="58"/>
      <c r="J149" s="58"/>
      <c r="L149" s="58"/>
      <c r="M149" s="58"/>
      <c r="N149" s="58"/>
      <c r="O149" s="58"/>
      <c r="P149" s="58"/>
      <c r="Q149" s="58"/>
      <c r="R149" s="58"/>
      <c r="S149" s="58"/>
      <c r="T149" s="58"/>
      <c r="U149" s="58"/>
      <c r="V149" s="58"/>
      <c r="W149" s="58"/>
      <c r="X149" s="58"/>
      <c r="Y149" s="58"/>
      <c r="Z149" s="58"/>
      <c r="AA149" s="58"/>
    </row>
    <row r="150" spans="1:27" ht="24.75" customHeight="1">
      <c r="A150" s="57"/>
      <c r="B150" s="58"/>
      <c r="C150" s="58"/>
      <c r="D150" s="58"/>
      <c r="E150" s="58"/>
      <c r="F150" s="57"/>
      <c r="G150" s="58"/>
      <c r="H150" s="58"/>
      <c r="I150" s="58"/>
      <c r="J150" s="58"/>
      <c r="L150" s="58"/>
      <c r="M150" s="58"/>
      <c r="N150" s="58"/>
      <c r="O150" s="58"/>
      <c r="P150" s="58"/>
      <c r="Q150" s="58"/>
      <c r="R150" s="58"/>
      <c r="S150" s="58"/>
      <c r="T150" s="58"/>
      <c r="U150" s="58"/>
      <c r="V150" s="58"/>
      <c r="W150" s="58"/>
      <c r="X150" s="58"/>
      <c r="Y150" s="58"/>
      <c r="Z150" s="58"/>
      <c r="AA150" s="58"/>
    </row>
    <row r="151" spans="1:27" ht="24.75" customHeight="1">
      <c r="A151" s="57"/>
      <c r="B151" s="58"/>
      <c r="C151" s="58"/>
      <c r="D151" s="58"/>
      <c r="E151" s="58"/>
      <c r="F151" s="57"/>
      <c r="G151" s="58"/>
      <c r="H151" s="58"/>
      <c r="I151" s="58"/>
      <c r="J151" s="58"/>
      <c r="L151" s="58"/>
      <c r="M151" s="58"/>
      <c r="N151" s="58"/>
      <c r="O151" s="58"/>
      <c r="P151" s="58"/>
      <c r="Q151" s="58"/>
      <c r="R151" s="58"/>
      <c r="S151" s="58"/>
      <c r="T151" s="58"/>
      <c r="U151" s="58"/>
      <c r="V151" s="58"/>
      <c r="W151" s="58"/>
      <c r="X151" s="58"/>
      <c r="Y151" s="58"/>
      <c r="Z151" s="58"/>
      <c r="AA151" s="58"/>
    </row>
    <row r="152" spans="1:27" ht="24.75" customHeight="1">
      <c r="A152" s="57"/>
      <c r="B152" s="58"/>
      <c r="C152" s="58"/>
      <c r="D152" s="58"/>
      <c r="E152" s="58"/>
      <c r="F152" s="57"/>
      <c r="G152" s="58"/>
      <c r="H152" s="58"/>
      <c r="I152" s="58"/>
      <c r="J152" s="58"/>
      <c r="L152" s="58"/>
      <c r="M152" s="58"/>
      <c r="N152" s="58"/>
      <c r="O152" s="58"/>
      <c r="P152" s="58"/>
      <c r="Q152" s="58"/>
      <c r="R152" s="58"/>
      <c r="S152" s="58"/>
      <c r="T152" s="58"/>
      <c r="U152" s="58"/>
      <c r="V152" s="58"/>
      <c r="W152" s="58"/>
      <c r="X152" s="58"/>
      <c r="Y152" s="58"/>
      <c r="Z152" s="58"/>
      <c r="AA152" s="58"/>
    </row>
    <row r="153" spans="1:27" ht="24.75" customHeight="1">
      <c r="A153" s="57"/>
      <c r="B153" s="58"/>
      <c r="C153" s="58"/>
      <c r="D153" s="58"/>
      <c r="E153" s="58"/>
      <c r="F153" s="57"/>
      <c r="G153" s="58"/>
      <c r="H153" s="58"/>
      <c r="I153" s="58"/>
      <c r="J153" s="58"/>
      <c r="L153" s="58"/>
      <c r="M153" s="58"/>
      <c r="N153" s="58"/>
      <c r="O153" s="58"/>
      <c r="P153" s="58"/>
      <c r="Q153" s="58"/>
      <c r="R153" s="58"/>
      <c r="S153" s="58"/>
      <c r="T153" s="58"/>
      <c r="U153" s="58"/>
      <c r="V153" s="58"/>
      <c r="W153" s="58"/>
      <c r="X153" s="58"/>
      <c r="Y153" s="58"/>
      <c r="Z153" s="58"/>
      <c r="AA153" s="58"/>
    </row>
    <row r="154" spans="1:27" ht="24.75" customHeight="1">
      <c r="A154" s="57"/>
      <c r="B154" s="58"/>
      <c r="C154" s="58"/>
      <c r="D154" s="58"/>
      <c r="E154" s="58"/>
      <c r="F154" s="57"/>
      <c r="G154" s="58"/>
      <c r="H154" s="58"/>
      <c r="I154" s="58"/>
      <c r="J154" s="58"/>
      <c r="L154" s="58"/>
      <c r="M154" s="58"/>
      <c r="N154" s="58"/>
      <c r="O154" s="58"/>
      <c r="P154" s="58"/>
      <c r="Q154" s="58"/>
      <c r="R154" s="58"/>
      <c r="S154" s="58"/>
      <c r="T154" s="58"/>
      <c r="U154" s="58"/>
      <c r="V154" s="58"/>
      <c r="W154" s="58"/>
      <c r="X154" s="58"/>
      <c r="Y154" s="58"/>
      <c r="Z154" s="58"/>
      <c r="AA154" s="58"/>
    </row>
    <row r="155" spans="1:27" ht="24.75" customHeight="1">
      <c r="A155" s="57"/>
      <c r="B155" s="58"/>
      <c r="C155" s="58"/>
      <c r="D155" s="58"/>
      <c r="E155" s="58"/>
      <c r="F155" s="57"/>
      <c r="G155" s="58"/>
      <c r="H155" s="58"/>
      <c r="I155" s="58"/>
      <c r="J155" s="58"/>
      <c r="L155" s="58"/>
      <c r="M155" s="58"/>
      <c r="N155" s="58"/>
      <c r="O155" s="58"/>
      <c r="P155" s="58"/>
      <c r="Q155" s="58"/>
      <c r="R155" s="58"/>
      <c r="S155" s="58"/>
      <c r="T155" s="58"/>
      <c r="U155" s="58"/>
      <c r="V155" s="58"/>
      <c r="W155" s="58"/>
      <c r="X155" s="58"/>
      <c r="Y155" s="58"/>
      <c r="Z155" s="58"/>
      <c r="AA155" s="58"/>
    </row>
    <row r="156" spans="1:27" ht="24.75" customHeight="1">
      <c r="A156" s="57"/>
      <c r="B156" s="58"/>
      <c r="C156" s="58"/>
      <c r="D156" s="58"/>
      <c r="E156" s="58"/>
      <c r="F156" s="57"/>
      <c r="G156" s="58"/>
      <c r="H156" s="58"/>
      <c r="I156" s="58"/>
      <c r="J156" s="58"/>
      <c r="L156" s="58"/>
      <c r="M156" s="58"/>
      <c r="N156" s="58"/>
      <c r="O156" s="58"/>
      <c r="P156" s="58"/>
      <c r="Q156" s="58"/>
      <c r="R156" s="58"/>
      <c r="S156" s="58"/>
      <c r="T156" s="58"/>
      <c r="U156" s="58"/>
      <c r="V156" s="58"/>
      <c r="W156" s="58"/>
      <c r="X156" s="58"/>
      <c r="Y156" s="58"/>
      <c r="Z156" s="58"/>
      <c r="AA156" s="58"/>
    </row>
    <row r="157" spans="1:27" ht="24.75" customHeight="1">
      <c r="A157" s="57"/>
      <c r="B157" s="58"/>
      <c r="C157" s="58"/>
      <c r="D157" s="58"/>
      <c r="E157" s="58"/>
      <c r="F157" s="57"/>
      <c r="G157" s="58"/>
      <c r="H157" s="58"/>
      <c r="I157" s="58"/>
      <c r="J157" s="58"/>
      <c r="L157" s="58"/>
      <c r="M157" s="58"/>
      <c r="N157" s="58"/>
      <c r="O157" s="58"/>
      <c r="P157" s="58"/>
      <c r="Q157" s="58"/>
      <c r="R157" s="58"/>
      <c r="S157" s="58"/>
      <c r="T157" s="58"/>
      <c r="U157" s="58"/>
      <c r="V157" s="58"/>
      <c r="W157" s="58"/>
      <c r="X157" s="58"/>
      <c r="Y157" s="58"/>
      <c r="Z157" s="58"/>
      <c r="AA157" s="58"/>
    </row>
    <row r="158" spans="1:27" ht="24.75" customHeight="1">
      <c r="A158" s="57"/>
      <c r="B158" s="58"/>
      <c r="C158" s="58"/>
      <c r="D158" s="58"/>
      <c r="E158" s="58"/>
      <c r="F158" s="57"/>
      <c r="G158" s="58"/>
      <c r="H158" s="58"/>
      <c r="I158" s="58"/>
      <c r="J158" s="58"/>
      <c r="L158" s="58"/>
      <c r="M158" s="58"/>
      <c r="N158" s="58"/>
      <c r="O158" s="58"/>
      <c r="P158" s="58"/>
      <c r="Q158" s="58"/>
      <c r="R158" s="58"/>
      <c r="S158" s="58"/>
      <c r="T158" s="58"/>
      <c r="U158" s="58"/>
      <c r="V158" s="58"/>
      <c r="W158" s="58"/>
      <c r="X158" s="58"/>
      <c r="Y158" s="58"/>
      <c r="Z158" s="58"/>
      <c r="AA158" s="58"/>
    </row>
    <row r="159" spans="1:27" ht="24.75" customHeight="1">
      <c r="A159" s="57"/>
      <c r="B159" s="58"/>
      <c r="C159" s="58"/>
      <c r="D159" s="58"/>
      <c r="E159" s="58"/>
      <c r="F159" s="57"/>
      <c r="G159" s="58"/>
      <c r="H159" s="58"/>
      <c r="I159" s="58"/>
      <c r="J159" s="58"/>
      <c r="L159" s="58"/>
      <c r="M159" s="58"/>
      <c r="N159" s="58"/>
      <c r="O159" s="58"/>
      <c r="P159" s="58"/>
      <c r="Q159" s="58"/>
      <c r="R159" s="58"/>
      <c r="S159" s="58"/>
      <c r="T159" s="58"/>
      <c r="U159" s="58"/>
      <c r="V159" s="58"/>
      <c r="W159" s="58"/>
      <c r="X159" s="58"/>
      <c r="Y159" s="58"/>
      <c r="Z159" s="58"/>
      <c r="AA159" s="58"/>
    </row>
    <row r="160" spans="1:27" ht="24.75" customHeight="1">
      <c r="A160" s="57"/>
      <c r="B160" s="58"/>
      <c r="C160" s="58"/>
      <c r="D160" s="58"/>
      <c r="E160" s="58"/>
      <c r="F160" s="57"/>
      <c r="G160" s="58"/>
      <c r="H160" s="58"/>
      <c r="I160" s="58"/>
      <c r="J160" s="58"/>
      <c r="L160" s="58"/>
      <c r="M160" s="58"/>
      <c r="N160" s="58"/>
      <c r="O160" s="58"/>
      <c r="P160" s="58"/>
      <c r="Q160" s="58"/>
      <c r="R160" s="58"/>
      <c r="S160" s="58"/>
      <c r="T160" s="58"/>
      <c r="U160" s="58"/>
      <c r="V160" s="58"/>
      <c r="W160" s="58"/>
      <c r="X160" s="58"/>
      <c r="Y160" s="58"/>
      <c r="Z160" s="58"/>
      <c r="AA160" s="58"/>
    </row>
    <row r="161" spans="1:27" ht="24.75" customHeight="1">
      <c r="A161" s="57"/>
      <c r="B161" s="58"/>
      <c r="C161" s="58"/>
      <c r="D161" s="58"/>
      <c r="E161" s="58"/>
      <c r="F161" s="57"/>
      <c r="G161" s="58"/>
      <c r="H161" s="58"/>
      <c r="I161" s="58"/>
      <c r="J161" s="58"/>
      <c r="L161" s="58"/>
      <c r="M161" s="58"/>
      <c r="N161" s="58"/>
      <c r="O161" s="58"/>
      <c r="P161" s="58"/>
      <c r="Q161" s="58"/>
      <c r="R161" s="58"/>
      <c r="S161" s="58"/>
      <c r="T161" s="58"/>
      <c r="U161" s="58"/>
      <c r="V161" s="58"/>
      <c r="W161" s="58"/>
      <c r="X161" s="58"/>
      <c r="Y161" s="58"/>
      <c r="Z161" s="58"/>
      <c r="AA161" s="58"/>
    </row>
    <row r="162" spans="1:27" ht="24.75" customHeight="1">
      <c r="A162" s="57"/>
      <c r="B162" s="58"/>
      <c r="C162" s="58"/>
      <c r="D162" s="58"/>
      <c r="E162" s="58"/>
      <c r="F162" s="57"/>
      <c r="G162" s="58"/>
      <c r="H162" s="58"/>
      <c r="I162" s="58"/>
      <c r="J162" s="58"/>
      <c r="L162" s="58"/>
      <c r="M162" s="58"/>
      <c r="N162" s="58"/>
      <c r="O162" s="58"/>
      <c r="P162" s="58"/>
      <c r="Q162" s="58"/>
      <c r="R162" s="58"/>
      <c r="S162" s="58"/>
      <c r="T162" s="58"/>
      <c r="U162" s="58"/>
      <c r="V162" s="58"/>
      <c r="W162" s="58"/>
      <c r="X162" s="58"/>
      <c r="Y162" s="58"/>
      <c r="Z162" s="58"/>
      <c r="AA162" s="58"/>
    </row>
    <row r="163" spans="1:27" ht="24.75" customHeight="1">
      <c r="A163" s="57"/>
      <c r="B163" s="58"/>
      <c r="C163" s="58"/>
      <c r="D163" s="58"/>
      <c r="E163" s="58"/>
      <c r="F163" s="57"/>
      <c r="G163" s="58"/>
      <c r="H163" s="58"/>
      <c r="I163" s="58"/>
      <c r="J163" s="58"/>
      <c r="L163" s="58"/>
      <c r="M163" s="58"/>
      <c r="N163" s="58"/>
      <c r="O163" s="58"/>
      <c r="P163" s="58"/>
      <c r="Q163" s="58"/>
      <c r="R163" s="58"/>
      <c r="S163" s="58"/>
      <c r="T163" s="58"/>
      <c r="U163" s="58"/>
      <c r="V163" s="58"/>
      <c r="W163" s="58"/>
      <c r="X163" s="58"/>
      <c r="Y163" s="58"/>
      <c r="Z163" s="58"/>
      <c r="AA163" s="58"/>
    </row>
    <row r="164" spans="1:27" ht="24.75" customHeight="1">
      <c r="A164" s="57"/>
      <c r="B164" s="58"/>
      <c r="C164" s="58"/>
      <c r="D164" s="58"/>
      <c r="E164" s="58"/>
      <c r="F164" s="57"/>
      <c r="G164" s="58"/>
      <c r="H164" s="58"/>
      <c r="I164" s="58"/>
      <c r="J164" s="58"/>
      <c r="L164" s="58"/>
      <c r="M164" s="58"/>
      <c r="N164" s="58"/>
      <c r="O164" s="58"/>
      <c r="P164" s="58"/>
      <c r="Q164" s="58"/>
      <c r="R164" s="58"/>
      <c r="S164" s="58"/>
      <c r="T164" s="58"/>
      <c r="U164" s="58"/>
      <c r="V164" s="58"/>
      <c r="W164" s="58"/>
      <c r="X164" s="58"/>
      <c r="Y164" s="58"/>
      <c r="Z164" s="58"/>
      <c r="AA164" s="58"/>
    </row>
    <row r="165" spans="1:27" ht="24.75" customHeight="1">
      <c r="A165" s="57"/>
      <c r="B165" s="58"/>
      <c r="C165" s="58"/>
      <c r="D165" s="58"/>
      <c r="E165" s="58"/>
      <c r="F165" s="57"/>
      <c r="G165" s="58"/>
      <c r="H165" s="58"/>
      <c r="I165" s="58"/>
      <c r="J165" s="58"/>
      <c r="L165" s="58"/>
      <c r="M165" s="58"/>
      <c r="N165" s="58"/>
      <c r="O165" s="58"/>
      <c r="P165" s="58"/>
      <c r="Q165" s="58"/>
      <c r="R165" s="58"/>
      <c r="S165" s="58"/>
      <c r="T165" s="58"/>
      <c r="U165" s="58"/>
      <c r="V165" s="58"/>
      <c r="W165" s="58"/>
      <c r="X165" s="58"/>
      <c r="Y165" s="58"/>
      <c r="Z165" s="58"/>
      <c r="AA165" s="58"/>
    </row>
    <row r="166" spans="1:27" ht="24.75" customHeight="1">
      <c r="A166" s="57"/>
      <c r="B166" s="58"/>
      <c r="C166" s="58"/>
      <c r="D166" s="58"/>
      <c r="E166" s="58"/>
      <c r="F166" s="57"/>
      <c r="G166" s="58"/>
      <c r="H166" s="58"/>
      <c r="I166" s="58"/>
      <c r="J166" s="58"/>
      <c r="L166" s="58"/>
      <c r="M166" s="58"/>
      <c r="N166" s="58"/>
      <c r="O166" s="58"/>
      <c r="P166" s="58"/>
      <c r="Q166" s="58"/>
      <c r="R166" s="58"/>
      <c r="S166" s="58"/>
      <c r="T166" s="58"/>
      <c r="U166" s="58"/>
      <c r="V166" s="58"/>
      <c r="W166" s="58"/>
      <c r="X166" s="58"/>
      <c r="Y166" s="58"/>
      <c r="Z166" s="58"/>
      <c r="AA166" s="58"/>
    </row>
    <row r="167" spans="1:27" ht="24.75" customHeight="1">
      <c r="A167" s="57"/>
      <c r="B167" s="58"/>
      <c r="C167" s="58"/>
      <c r="D167" s="58"/>
      <c r="E167" s="58"/>
      <c r="F167" s="57"/>
      <c r="G167" s="58"/>
      <c r="H167" s="58"/>
      <c r="I167" s="58"/>
      <c r="J167" s="58"/>
      <c r="L167" s="58"/>
      <c r="M167" s="58"/>
      <c r="N167" s="58"/>
      <c r="O167" s="58"/>
      <c r="P167" s="58"/>
      <c r="Q167" s="58"/>
      <c r="R167" s="58"/>
      <c r="S167" s="58"/>
      <c r="T167" s="58"/>
      <c r="U167" s="58"/>
      <c r="V167" s="58"/>
      <c r="W167" s="58"/>
      <c r="X167" s="58"/>
      <c r="Y167" s="58"/>
      <c r="Z167" s="58"/>
      <c r="AA167" s="58"/>
    </row>
    <row r="168" spans="1:27" ht="24.75" customHeight="1">
      <c r="A168" s="57"/>
      <c r="B168" s="58"/>
      <c r="C168" s="58"/>
      <c r="D168" s="58"/>
      <c r="E168" s="58"/>
      <c r="F168" s="57"/>
      <c r="G168" s="58"/>
      <c r="H168" s="58"/>
      <c r="I168" s="58"/>
      <c r="J168" s="58"/>
      <c r="L168" s="58"/>
      <c r="M168" s="58"/>
      <c r="N168" s="58"/>
      <c r="O168" s="58"/>
      <c r="P168" s="58"/>
      <c r="Q168" s="58"/>
      <c r="R168" s="58"/>
      <c r="S168" s="58"/>
      <c r="T168" s="58"/>
      <c r="U168" s="58"/>
      <c r="V168" s="58"/>
      <c r="W168" s="58"/>
      <c r="X168" s="58"/>
      <c r="Y168" s="58"/>
      <c r="Z168" s="58"/>
      <c r="AA168" s="58"/>
    </row>
    <row r="169" spans="1:27" ht="24.75" customHeight="1">
      <c r="A169" s="57"/>
      <c r="B169" s="58"/>
      <c r="C169" s="58"/>
      <c r="D169" s="58"/>
      <c r="E169" s="58"/>
      <c r="F169" s="57"/>
      <c r="G169" s="58"/>
      <c r="H169" s="58"/>
      <c r="I169" s="58"/>
      <c r="J169" s="58"/>
      <c r="L169" s="58"/>
      <c r="M169" s="58"/>
      <c r="N169" s="58"/>
      <c r="O169" s="58"/>
      <c r="P169" s="58"/>
      <c r="Q169" s="58"/>
      <c r="R169" s="58"/>
      <c r="S169" s="58"/>
      <c r="T169" s="58"/>
      <c r="U169" s="58"/>
      <c r="V169" s="58"/>
      <c r="W169" s="58"/>
      <c r="X169" s="58"/>
      <c r="Y169" s="58"/>
      <c r="Z169" s="58"/>
      <c r="AA169" s="58"/>
    </row>
    <row r="170" spans="1:27" ht="24.75" customHeight="1">
      <c r="A170" s="57"/>
      <c r="B170" s="58"/>
      <c r="C170" s="58"/>
      <c r="D170" s="58"/>
      <c r="E170" s="58"/>
      <c r="F170" s="57"/>
      <c r="G170" s="58"/>
      <c r="H170" s="58"/>
      <c r="I170" s="58"/>
      <c r="J170" s="58"/>
      <c r="L170" s="58"/>
      <c r="M170" s="58"/>
      <c r="N170" s="58"/>
      <c r="O170" s="58"/>
      <c r="P170" s="58"/>
      <c r="Q170" s="58"/>
      <c r="R170" s="58"/>
      <c r="S170" s="58"/>
      <c r="T170" s="58"/>
      <c r="U170" s="58"/>
      <c r="V170" s="58"/>
      <c r="W170" s="58"/>
      <c r="X170" s="58"/>
      <c r="Y170" s="58"/>
      <c r="Z170" s="58"/>
      <c r="AA170" s="58"/>
    </row>
    <row r="171" spans="1:27" ht="24.75" customHeight="1">
      <c r="A171" s="57"/>
      <c r="B171" s="58"/>
      <c r="C171" s="58"/>
      <c r="D171" s="58"/>
      <c r="E171" s="58"/>
      <c r="F171" s="57"/>
      <c r="G171" s="58"/>
      <c r="H171" s="58"/>
      <c r="I171" s="58"/>
      <c r="J171" s="58"/>
      <c r="L171" s="58"/>
      <c r="M171" s="58"/>
      <c r="N171" s="58"/>
      <c r="O171" s="58"/>
      <c r="P171" s="58"/>
      <c r="Q171" s="58"/>
      <c r="R171" s="58"/>
      <c r="S171" s="58"/>
      <c r="T171" s="58"/>
      <c r="U171" s="58"/>
      <c r="V171" s="58"/>
      <c r="W171" s="58"/>
      <c r="X171" s="58"/>
      <c r="Y171" s="58"/>
      <c r="Z171" s="58"/>
      <c r="AA171" s="58"/>
    </row>
    <row r="172" spans="1:27" ht="24.75" customHeight="1">
      <c r="A172" s="57"/>
      <c r="B172" s="58"/>
      <c r="C172" s="58"/>
      <c r="D172" s="58"/>
      <c r="E172" s="58"/>
      <c r="F172" s="57"/>
      <c r="G172" s="58"/>
      <c r="H172" s="58"/>
      <c r="I172" s="58"/>
      <c r="J172" s="58"/>
      <c r="L172" s="58"/>
      <c r="M172" s="58"/>
      <c r="N172" s="58"/>
      <c r="O172" s="58"/>
      <c r="P172" s="58"/>
      <c r="Q172" s="58"/>
      <c r="R172" s="58"/>
      <c r="S172" s="58"/>
      <c r="T172" s="58"/>
      <c r="U172" s="58"/>
      <c r="V172" s="58"/>
      <c r="W172" s="58"/>
      <c r="X172" s="58"/>
      <c r="Y172" s="58"/>
      <c r="Z172" s="58"/>
      <c r="AA172" s="58"/>
    </row>
    <row r="173" spans="1:27" ht="24.75" customHeight="1">
      <c r="A173" s="57"/>
      <c r="B173" s="58"/>
      <c r="C173" s="58"/>
      <c r="D173" s="58"/>
      <c r="E173" s="58"/>
      <c r="F173" s="57"/>
      <c r="G173" s="58"/>
      <c r="H173" s="58"/>
      <c r="I173" s="58"/>
      <c r="J173" s="58"/>
      <c r="L173" s="58"/>
      <c r="M173" s="58"/>
      <c r="N173" s="58"/>
      <c r="O173" s="58"/>
      <c r="P173" s="58"/>
      <c r="Q173" s="58"/>
      <c r="R173" s="58"/>
      <c r="S173" s="58"/>
      <c r="T173" s="58"/>
      <c r="U173" s="58"/>
      <c r="V173" s="58"/>
      <c r="W173" s="58"/>
      <c r="X173" s="58"/>
      <c r="Y173" s="58"/>
      <c r="Z173" s="58"/>
      <c r="AA173" s="58"/>
    </row>
    <row r="174" spans="1:27" ht="24.75" customHeight="1">
      <c r="A174" s="57"/>
      <c r="B174" s="58"/>
      <c r="C174" s="58"/>
      <c r="D174" s="58"/>
      <c r="E174" s="58"/>
      <c r="F174" s="57"/>
      <c r="G174" s="58"/>
      <c r="H174" s="58"/>
      <c r="I174" s="58"/>
      <c r="J174" s="58"/>
      <c r="L174" s="58"/>
      <c r="M174" s="58"/>
      <c r="N174" s="58"/>
      <c r="O174" s="58"/>
      <c r="P174" s="58"/>
      <c r="Q174" s="58"/>
      <c r="R174" s="58"/>
      <c r="S174" s="58"/>
      <c r="T174" s="58"/>
      <c r="U174" s="58"/>
      <c r="V174" s="58"/>
      <c r="W174" s="58"/>
      <c r="X174" s="58"/>
      <c r="Y174" s="58"/>
      <c r="Z174" s="58"/>
      <c r="AA174" s="58"/>
    </row>
    <row r="175" spans="1:27" ht="24.75" customHeight="1">
      <c r="A175" s="57"/>
      <c r="B175" s="58"/>
      <c r="C175" s="58"/>
      <c r="D175" s="58"/>
      <c r="E175" s="58"/>
      <c r="F175" s="57"/>
      <c r="G175" s="58"/>
      <c r="H175" s="58"/>
      <c r="I175" s="58"/>
      <c r="J175" s="58"/>
      <c r="L175" s="58"/>
      <c r="M175" s="58"/>
      <c r="N175" s="58"/>
      <c r="O175" s="58"/>
      <c r="P175" s="58"/>
      <c r="Q175" s="58"/>
      <c r="R175" s="58"/>
      <c r="S175" s="58"/>
      <c r="T175" s="58"/>
      <c r="U175" s="58"/>
      <c r="V175" s="58"/>
      <c r="W175" s="58"/>
      <c r="X175" s="58"/>
      <c r="Y175" s="58"/>
      <c r="Z175" s="58"/>
      <c r="AA175" s="58"/>
    </row>
    <row r="176" spans="1:27" ht="24.75" customHeight="1">
      <c r="A176" s="57"/>
      <c r="B176" s="58"/>
      <c r="C176" s="58"/>
      <c r="D176" s="58"/>
      <c r="E176" s="58"/>
      <c r="F176" s="57"/>
      <c r="G176" s="58"/>
      <c r="H176" s="58"/>
      <c r="I176" s="58"/>
      <c r="J176" s="58"/>
      <c r="L176" s="58"/>
      <c r="M176" s="58"/>
      <c r="N176" s="58"/>
      <c r="O176" s="58"/>
      <c r="P176" s="58"/>
      <c r="Q176" s="58"/>
      <c r="R176" s="58"/>
      <c r="S176" s="58"/>
      <c r="T176" s="58"/>
      <c r="U176" s="58"/>
      <c r="V176" s="58"/>
      <c r="W176" s="58"/>
      <c r="X176" s="58"/>
      <c r="Y176" s="58"/>
      <c r="Z176" s="58"/>
      <c r="AA176" s="58"/>
    </row>
    <row r="177" spans="1:27" ht="24.75" customHeight="1">
      <c r="A177" s="57"/>
      <c r="B177" s="58"/>
      <c r="C177" s="58"/>
      <c r="D177" s="58"/>
      <c r="E177" s="58"/>
      <c r="F177" s="57"/>
      <c r="G177" s="58"/>
      <c r="H177" s="58"/>
      <c r="I177" s="58"/>
      <c r="J177" s="58"/>
      <c r="L177" s="58"/>
      <c r="M177" s="58"/>
      <c r="N177" s="58"/>
      <c r="O177" s="58"/>
      <c r="P177" s="58"/>
      <c r="Q177" s="58"/>
      <c r="R177" s="58"/>
      <c r="S177" s="58"/>
      <c r="T177" s="58"/>
      <c r="U177" s="58"/>
      <c r="V177" s="58"/>
      <c r="W177" s="58"/>
      <c r="X177" s="58"/>
      <c r="Y177" s="58"/>
      <c r="Z177" s="58"/>
      <c r="AA177" s="58"/>
    </row>
    <row r="178" spans="1:27" ht="24.75" customHeight="1">
      <c r="A178" s="57"/>
      <c r="B178" s="58"/>
      <c r="C178" s="58"/>
      <c r="D178" s="58"/>
      <c r="E178" s="58"/>
      <c r="F178" s="57"/>
      <c r="G178" s="58"/>
      <c r="H178" s="58"/>
      <c r="I178" s="58"/>
      <c r="J178" s="58"/>
      <c r="L178" s="58"/>
      <c r="M178" s="58"/>
      <c r="N178" s="58"/>
      <c r="O178" s="58"/>
      <c r="P178" s="58"/>
      <c r="Q178" s="58"/>
      <c r="R178" s="58"/>
      <c r="S178" s="58"/>
      <c r="T178" s="58"/>
      <c r="U178" s="58"/>
      <c r="V178" s="58"/>
      <c r="W178" s="58"/>
      <c r="X178" s="58"/>
      <c r="Y178" s="58"/>
      <c r="Z178" s="58"/>
      <c r="AA178" s="58"/>
    </row>
    <row r="179" spans="1:27" ht="24.75" customHeight="1">
      <c r="A179" s="57"/>
      <c r="B179" s="58"/>
      <c r="C179" s="58"/>
      <c r="D179" s="58"/>
      <c r="E179" s="58"/>
      <c r="F179" s="57"/>
      <c r="G179" s="58"/>
      <c r="H179" s="58"/>
      <c r="I179" s="58"/>
      <c r="J179" s="58"/>
      <c r="L179" s="58"/>
      <c r="M179" s="58"/>
      <c r="N179" s="58"/>
      <c r="O179" s="58"/>
      <c r="P179" s="58"/>
      <c r="Q179" s="58"/>
      <c r="R179" s="58"/>
      <c r="S179" s="58"/>
      <c r="T179" s="58"/>
      <c r="U179" s="58"/>
      <c r="V179" s="58"/>
      <c r="W179" s="58"/>
      <c r="X179" s="58"/>
      <c r="Y179" s="58"/>
      <c r="Z179" s="58"/>
      <c r="AA179" s="58"/>
    </row>
    <row r="180" spans="1:27" ht="24.75" customHeight="1">
      <c r="A180" s="57"/>
      <c r="B180" s="58"/>
      <c r="C180" s="58"/>
      <c r="D180" s="58"/>
      <c r="E180" s="58"/>
      <c r="F180" s="57"/>
      <c r="G180" s="58"/>
      <c r="H180" s="58"/>
      <c r="I180" s="58"/>
      <c r="J180" s="58"/>
      <c r="L180" s="58"/>
      <c r="M180" s="58"/>
      <c r="N180" s="58"/>
      <c r="O180" s="58"/>
      <c r="P180" s="58"/>
      <c r="Q180" s="58"/>
      <c r="R180" s="58"/>
      <c r="S180" s="58"/>
      <c r="T180" s="58"/>
      <c r="U180" s="58"/>
      <c r="V180" s="58"/>
      <c r="W180" s="58"/>
      <c r="X180" s="58"/>
      <c r="Y180" s="58"/>
      <c r="Z180" s="58"/>
      <c r="AA180" s="58"/>
    </row>
    <row r="181" spans="1:27" ht="24.75" customHeight="1">
      <c r="A181" s="57"/>
      <c r="B181" s="58"/>
      <c r="C181" s="58"/>
      <c r="D181" s="58"/>
      <c r="E181" s="58"/>
      <c r="F181" s="57"/>
      <c r="G181" s="58"/>
      <c r="H181" s="58"/>
      <c r="I181" s="58"/>
      <c r="J181" s="58"/>
      <c r="L181" s="58"/>
      <c r="M181" s="58"/>
      <c r="N181" s="58"/>
      <c r="O181" s="58"/>
      <c r="P181" s="58"/>
      <c r="Q181" s="58"/>
      <c r="R181" s="58"/>
      <c r="S181" s="58"/>
      <c r="T181" s="58"/>
      <c r="U181" s="58"/>
      <c r="V181" s="58"/>
      <c r="W181" s="58"/>
      <c r="X181" s="58"/>
      <c r="Y181" s="58"/>
      <c r="Z181" s="58"/>
      <c r="AA181" s="58"/>
    </row>
    <row r="182" spans="1:27" ht="24.75" customHeight="1">
      <c r="A182" s="57"/>
      <c r="B182" s="58"/>
      <c r="C182" s="58"/>
      <c r="D182" s="58"/>
      <c r="E182" s="58"/>
      <c r="F182" s="57"/>
      <c r="G182" s="58"/>
      <c r="H182" s="58"/>
      <c r="I182" s="58"/>
      <c r="J182" s="58"/>
      <c r="L182" s="58"/>
      <c r="M182" s="58"/>
      <c r="N182" s="58"/>
      <c r="O182" s="58"/>
      <c r="P182" s="58"/>
      <c r="Q182" s="58"/>
      <c r="R182" s="58"/>
      <c r="S182" s="58"/>
      <c r="T182" s="58"/>
      <c r="U182" s="58"/>
      <c r="V182" s="58"/>
      <c r="W182" s="58"/>
      <c r="X182" s="58"/>
      <c r="Y182" s="58"/>
      <c r="Z182" s="58"/>
      <c r="AA182" s="58"/>
    </row>
    <row r="183" spans="1:27" ht="24.75" customHeight="1">
      <c r="A183" s="57"/>
      <c r="B183" s="58"/>
      <c r="C183" s="58"/>
      <c r="D183" s="58"/>
      <c r="E183" s="58"/>
      <c r="F183" s="57"/>
      <c r="G183" s="58"/>
      <c r="H183" s="58"/>
      <c r="I183" s="58"/>
      <c r="J183" s="58"/>
      <c r="L183" s="58"/>
      <c r="M183" s="58"/>
      <c r="N183" s="58"/>
      <c r="O183" s="58"/>
      <c r="P183" s="58"/>
      <c r="Q183" s="58"/>
      <c r="R183" s="58"/>
      <c r="S183" s="58"/>
      <c r="T183" s="58"/>
      <c r="U183" s="58"/>
      <c r="V183" s="58"/>
      <c r="W183" s="58"/>
      <c r="X183" s="58"/>
      <c r="Y183" s="58"/>
      <c r="Z183" s="58"/>
      <c r="AA183" s="58"/>
    </row>
    <row r="184" spans="1:27" ht="24.75" customHeight="1">
      <c r="A184" s="57"/>
      <c r="B184" s="58"/>
      <c r="C184" s="58"/>
      <c r="D184" s="58"/>
      <c r="E184" s="58"/>
      <c r="F184" s="57"/>
      <c r="G184" s="58"/>
      <c r="H184" s="58"/>
      <c r="I184" s="58"/>
      <c r="J184" s="58"/>
      <c r="L184" s="58"/>
      <c r="M184" s="58"/>
      <c r="N184" s="58"/>
      <c r="O184" s="58"/>
      <c r="P184" s="58"/>
      <c r="Q184" s="58"/>
      <c r="R184" s="58"/>
      <c r="S184" s="58"/>
      <c r="T184" s="58"/>
      <c r="U184" s="58"/>
      <c r="V184" s="58"/>
      <c r="W184" s="58"/>
      <c r="X184" s="58"/>
      <c r="Y184" s="58"/>
      <c r="Z184" s="58"/>
      <c r="AA184" s="58"/>
    </row>
    <row r="185" spans="1:27" ht="24.75" customHeight="1">
      <c r="A185" s="57"/>
      <c r="B185" s="58"/>
      <c r="C185" s="58"/>
      <c r="D185" s="58"/>
      <c r="E185" s="58"/>
      <c r="F185" s="57"/>
      <c r="G185" s="58"/>
      <c r="H185" s="58"/>
      <c r="I185" s="58"/>
      <c r="J185" s="58"/>
      <c r="L185" s="58"/>
      <c r="M185" s="58"/>
      <c r="N185" s="58"/>
      <c r="O185" s="58"/>
      <c r="P185" s="58"/>
      <c r="Q185" s="58"/>
      <c r="R185" s="58"/>
      <c r="S185" s="58"/>
      <c r="T185" s="58"/>
      <c r="U185" s="58"/>
      <c r="V185" s="58"/>
      <c r="W185" s="58"/>
      <c r="X185" s="58"/>
      <c r="Y185" s="58"/>
      <c r="Z185" s="58"/>
      <c r="AA185" s="58"/>
    </row>
    <row r="186" spans="1:27" ht="24.75" customHeight="1">
      <c r="A186" s="57"/>
      <c r="B186" s="58"/>
      <c r="C186" s="58"/>
      <c r="D186" s="58"/>
      <c r="E186" s="58"/>
      <c r="F186" s="57"/>
      <c r="G186" s="58"/>
      <c r="H186" s="58"/>
      <c r="I186" s="58"/>
      <c r="J186" s="58"/>
      <c r="L186" s="58"/>
      <c r="M186" s="58"/>
      <c r="N186" s="58"/>
      <c r="O186" s="58"/>
      <c r="P186" s="58"/>
      <c r="Q186" s="58"/>
      <c r="R186" s="58"/>
      <c r="S186" s="58"/>
      <c r="T186" s="58"/>
      <c r="U186" s="58"/>
      <c r="V186" s="58"/>
      <c r="W186" s="58"/>
      <c r="X186" s="58"/>
      <c r="Y186" s="58"/>
      <c r="Z186" s="58"/>
      <c r="AA186" s="58"/>
    </row>
    <row r="187" spans="1:27" ht="24.75" customHeight="1">
      <c r="A187" s="57"/>
      <c r="B187" s="58"/>
      <c r="C187" s="58"/>
      <c r="D187" s="58"/>
      <c r="E187" s="58"/>
      <c r="F187" s="57"/>
      <c r="G187" s="58"/>
      <c r="H187" s="58"/>
      <c r="I187" s="58"/>
      <c r="J187" s="58"/>
      <c r="L187" s="58"/>
      <c r="M187" s="58"/>
      <c r="N187" s="58"/>
      <c r="O187" s="58"/>
      <c r="P187" s="58"/>
      <c r="Q187" s="58"/>
      <c r="R187" s="58"/>
      <c r="S187" s="58"/>
      <c r="T187" s="58"/>
      <c r="U187" s="58"/>
      <c r="V187" s="58"/>
      <c r="W187" s="58"/>
      <c r="X187" s="58"/>
      <c r="Y187" s="58"/>
      <c r="Z187" s="58"/>
      <c r="AA187" s="58"/>
    </row>
    <row r="188" spans="1:27" ht="24.75" customHeight="1">
      <c r="A188" s="57"/>
      <c r="B188" s="58"/>
      <c r="C188" s="58"/>
      <c r="D188" s="58"/>
      <c r="E188" s="58"/>
      <c r="F188" s="57"/>
      <c r="G188" s="58"/>
      <c r="H188" s="58"/>
      <c r="I188" s="58"/>
      <c r="J188" s="58"/>
      <c r="L188" s="58"/>
      <c r="M188" s="58"/>
      <c r="N188" s="58"/>
      <c r="O188" s="58"/>
      <c r="P188" s="58"/>
      <c r="Q188" s="58"/>
      <c r="R188" s="58"/>
      <c r="S188" s="58"/>
      <c r="T188" s="58"/>
      <c r="U188" s="58"/>
      <c r="V188" s="58"/>
      <c r="W188" s="58"/>
      <c r="X188" s="58"/>
      <c r="Y188" s="58"/>
      <c r="Z188" s="58"/>
      <c r="AA188" s="58"/>
    </row>
    <row r="189" spans="1:27" ht="24.75" customHeight="1">
      <c r="A189" s="57"/>
      <c r="B189" s="58"/>
      <c r="C189" s="58"/>
      <c r="D189" s="58"/>
      <c r="E189" s="58"/>
      <c r="F189" s="57"/>
      <c r="G189" s="58"/>
      <c r="H189" s="58"/>
      <c r="I189" s="58"/>
      <c r="J189" s="58"/>
      <c r="L189" s="58"/>
      <c r="M189" s="58"/>
      <c r="N189" s="58"/>
      <c r="O189" s="58"/>
      <c r="P189" s="58"/>
      <c r="Q189" s="58"/>
      <c r="R189" s="58"/>
      <c r="S189" s="58"/>
      <c r="T189" s="58"/>
      <c r="U189" s="58"/>
      <c r="V189" s="58"/>
      <c r="W189" s="58"/>
      <c r="X189" s="58"/>
      <c r="Y189" s="58"/>
      <c r="Z189" s="58"/>
      <c r="AA189" s="58"/>
    </row>
    <row r="190" spans="1:27" ht="24.75" customHeight="1">
      <c r="A190" s="57"/>
      <c r="B190" s="58"/>
      <c r="C190" s="58"/>
      <c r="D190" s="58"/>
      <c r="E190" s="58"/>
      <c r="F190" s="57"/>
      <c r="G190" s="58"/>
      <c r="H190" s="58"/>
      <c r="I190" s="58"/>
      <c r="J190" s="58"/>
      <c r="L190" s="58"/>
      <c r="M190" s="58"/>
      <c r="N190" s="58"/>
      <c r="O190" s="58"/>
      <c r="P190" s="58"/>
      <c r="Q190" s="58"/>
      <c r="R190" s="58"/>
      <c r="S190" s="58"/>
      <c r="T190" s="58"/>
      <c r="U190" s="58"/>
      <c r="V190" s="58"/>
      <c r="W190" s="58"/>
      <c r="X190" s="58"/>
      <c r="Y190" s="58"/>
      <c r="Z190" s="58"/>
      <c r="AA190" s="58"/>
    </row>
    <row r="191" spans="1:27" ht="24.75" customHeight="1">
      <c r="A191" s="57"/>
      <c r="B191" s="58"/>
      <c r="C191" s="58"/>
      <c r="D191" s="58"/>
      <c r="E191" s="58"/>
      <c r="F191" s="57"/>
      <c r="G191" s="58"/>
      <c r="H191" s="58"/>
      <c r="I191" s="58"/>
      <c r="J191" s="58"/>
      <c r="L191" s="58"/>
      <c r="M191" s="58"/>
      <c r="N191" s="58"/>
      <c r="O191" s="58"/>
      <c r="P191" s="58"/>
      <c r="Q191" s="58"/>
      <c r="R191" s="58"/>
      <c r="S191" s="58"/>
      <c r="T191" s="58"/>
      <c r="U191" s="58"/>
      <c r="V191" s="58"/>
      <c r="W191" s="58"/>
      <c r="X191" s="58"/>
      <c r="Y191" s="58"/>
      <c r="Z191" s="58"/>
      <c r="AA191" s="58"/>
    </row>
    <row r="192" spans="1:27" ht="24.75" customHeight="1">
      <c r="A192" s="57"/>
      <c r="B192" s="58"/>
      <c r="C192" s="58"/>
      <c r="D192" s="58"/>
      <c r="E192" s="58"/>
      <c r="F192" s="57"/>
      <c r="G192" s="58"/>
      <c r="H192" s="58"/>
      <c r="I192" s="58"/>
      <c r="J192" s="58"/>
      <c r="L192" s="58"/>
      <c r="M192" s="58"/>
      <c r="N192" s="58"/>
      <c r="O192" s="58"/>
      <c r="P192" s="58"/>
      <c r="Q192" s="58"/>
      <c r="R192" s="58"/>
      <c r="S192" s="58"/>
      <c r="T192" s="58"/>
      <c r="U192" s="58"/>
      <c r="V192" s="58"/>
      <c r="W192" s="58"/>
      <c r="X192" s="58"/>
      <c r="Y192" s="58"/>
      <c r="Z192" s="58"/>
      <c r="AA192" s="58"/>
    </row>
    <row r="193" spans="1:27" ht="24.75" customHeight="1">
      <c r="A193" s="57"/>
      <c r="B193" s="58"/>
      <c r="C193" s="58"/>
      <c r="D193" s="58"/>
      <c r="E193" s="58"/>
      <c r="F193" s="57"/>
      <c r="G193" s="58"/>
      <c r="H193" s="58"/>
      <c r="I193" s="58"/>
      <c r="J193" s="58"/>
      <c r="L193" s="58"/>
      <c r="M193" s="58"/>
      <c r="N193" s="58"/>
      <c r="O193" s="58"/>
      <c r="P193" s="58"/>
      <c r="Q193" s="58"/>
      <c r="R193" s="58"/>
      <c r="S193" s="58"/>
      <c r="T193" s="58"/>
      <c r="U193" s="58"/>
      <c r="V193" s="58"/>
      <c r="W193" s="58"/>
      <c r="X193" s="58"/>
      <c r="Y193" s="58"/>
      <c r="Z193" s="58"/>
      <c r="AA193" s="58"/>
    </row>
    <row r="194" spans="1:27" ht="24.75" customHeight="1">
      <c r="A194" s="57"/>
      <c r="B194" s="58"/>
      <c r="C194" s="58"/>
      <c r="D194" s="58"/>
      <c r="E194" s="58"/>
      <c r="F194" s="57"/>
      <c r="G194" s="58"/>
      <c r="H194" s="58"/>
      <c r="I194" s="58"/>
      <c r="J194" s="58"/>
      <c r="L194" s="58"/>
      <c r="M194" s="58"/>
      <c r="N194" s="58"/>
      <c r="O194" s="58"/>
      <c r="P194" s="58"/>
      <c r="Q194" s="58"/>
      <c r="R194" s="58"/>
      <c r="S194" s="58"/>
      <c r="T194" s="58"/>
      <c r="U194" s="58"/>
      <c r="V194" s="58"/>
      <c r="W194" s="58"/>
      <c r="X194" s="58"/>
      <c r="Y194" s="58"/>
      <c r="Z194" s="58"/>
      <c r="AA194" s="58"/>
    </row>
    <row r="195" spans="1:27" ht="24.75" customHeight="1">
      <c r="A195" s="57"/>
      <c r="B195" s="58"/>
      <c r="C195" s="58"/>
      <c r="D195" s="58"/>
      <c r="E195" s="58"/>
      <c r="F195" s="57"/>
      <c r="G195" s="58"/>
      <c r="H195" s="58"/>
      <c r="I195" s="58"/>
      <c r="J195" s="58"/>
      <c r="L195" s="58"/>
      <c r="M195" s="58"/>
      <c r="N195" s="58"/>
      <c r="O195" s="58"/>
      <c r="P195" s="58"/>
      <c r="Q195" s="58"/>
      <c r="R195" s="58"/>
      <c r="S195" s="58"/>
      <c r="T195" s="58"/>
      <c r="U195" s="58"/>
      <c r="V195" s="58"/>
      <c r="W195" s="58"/>
      <c r="X195" s="58"/>
      <c r="Y195" s="58"/>
      <c r="Z195" s="58"/>
      <c r="AA195" s="58"/>
    </row>
    <row r="196" spans="1:27" ht="24.75" customHeight="1">
      <c r="A196" s="57"/>
      <c r="B196" s="58"/>
      <c r="C196" s="58"/>
      <c r="D196" s="58"/>
      <c r="E196" s="58"/>
      <c r="F196" s="57"/>
      <c r="G196" s="58"/>
      <c r="H196" s="58"/>
      <c r="I196" s="58"/>
      <c r="J196" s="58"/>
      <c r="L196" s="58"/>
      <c r="M196" s="58"/>
      <c r="N196" s="58"/>
      <c r="O196" s="58"/>
      <c r="P196" s="58"/>
      <c r="Q196" s="58"/>
      <c r="R196" s="58"/>
      <c r="S196" s="58"/>
      <c r="T196" s="58"/>
      <c r="U196" s="58"/>
      <c r="V196" s="58"/>
      <c r="W196" s="58"/>
      <c r="X196" s="58"/>
      <c r="Y196" s="58"/>
      <c r="Z196" s="58"/>
      <c r="AA196" s="58"/>
    </row>
    <row r="197" spans="1:27" ht="24.75" customHeight="1">
      <c r="A197" s="57"/>
      <c r="B197" s="58"/>
      <c r="C197" s="58"/>
      <c r="D197" s="58"/>
      <c r="E197" s="58"/>
      <c r="F197" s="57"/>
      <c r="G197" s="58"/>
      <c r="H197" s="58"/>
      <c r="I197" s="58"/>
      <c r="J197" s="58"/>
      <c r="L197" s="58"/>
      <c r="M197" s="58"/>
      <c r="N197" s="58"/>
      <c r="O197" s="58"/>
      <c r="P197" s="58"/>
      <c r="Q197" s="58"/>
      <c r="R197" s="58"/>
      <c r="S197" s="58"/>
      <c r="T197" s="58"/>
      <c r="U197" s="58"/>
      <c r="V197" s="58"/>
      <c r="W197" s="58"/>
      <c r="X197" s="58"/>
      <c r="Y197" s="58"/>
      <c r="Z197" s="58"/>
      <c r="AA197" s="58"/>
    </row>
    <row r="198" spans="1:27" ht="24.75" customHeight="1">
      <c r="A198" s="57"/>
      <c r="B198" s="58"/>
      <c r="C198" s="58"/>
      <c r="D198" s="58"/>
      <c r="E198" s="58"/>
      <c r="F198" s="57"/>
      <c r="G198" s="58"/>
      <c r="H198" s="58"/>
      <c r="I198" s="58"/>
      <c r="J198" s="58"/>
      <c r="L198" s="58"/>
      <c r="M198" s="58"/>
      <c r="N198" s="58"/>
      <c r="O198" s="58"/>
      <c r="P198" s="58"/>
      <c r="Q198" s="58"/>
      <c r="R198" s="58"/>
      <c r="S198" s="58"/>
      <c r="T198" s="58"/>
      <c r="U198" s="58"/>
      <c r="V198" s="58"/>
      <c r="W198" s="58"/>
      <c r="X198" s="58"/>
      <c r="Y198" s="58"/>
      <c r="Z198" s="58"/>
      <c r="AA198" s="58"/>
    </row>
    <row r="199" spans="1:27" ht="24.75" customHeight="1">
      <c r="A199" s="57"/>
      <c r="B199" s="58"/>
      <c r="C199" s="58"/>
      <c r="D199" s="58"/>
      <c r="E199" s="58"/>
      <c r="F199" s="57"/>
      <c r="G199" s="58"/>
      <c r="H199" s="58"/>
      <c r="I199" s="58"/>
      <c r="J199" s="58"/>
      <c r="L199" s="58"/>
      <c r="M199" s="58"/>
      <c r="N199" s="58"/>
      <c r="O199" s="58"/>
      <c r="P199" s="58"/>
      <c r="Q199" s="58"/>
      <c r="R199" s="58"/>
      <c r="S199" s="58"/>
      <c r="T199" s="58"/>
      <c r="U199" s="58"/>
      <c r="V199" s="58"/>
      <c r="W199" s="58"/>
      <c r="X199" s="58"/>
      <c r="Y199" s="58"/>
      <c r="Z199" s="58"/>
      <c r="AA199" s="58"/>
    </row>
    <row r="200" spans="1:27" ht="24.75" customHeight="1">
      <c r="A200" s="57"/>
      <c r="B200" s="58"/>
      <c r="C200" s="58"/>
      <c r="D200" s="58"/>
      <c r="E200" s="58"/>
      <c r="F200" s="57"/>
      <c r="G200" s="58"/>
      <c r="H200" s="58"/>
      <c r="I200" s="58"/>
      <c r="J200" s="58"/>
      <c r="L200" s="58"/>
      <c r="M200" s="58"/>
      <c r="N200" s="58"/>
      <c r="O200" s="58"/>
      <c r="P200" s="58"/>
      <c r="Q200" s="58"/>
      <c r="R200" s="58"/>
      <c r="S200" s="58"/>
      <c r="T200" s="58"/>
      <c r="U200" s="58"/>
      <c r="V200" s="58"/>
      <c r="W200" s="58"/>
      <c r="X200" s="58"/>
      <c r="Y200" s="58"/>
      <c r="Z200" s="58"/>
      <c r="AA200" s="58"/>
    </row>
    <row r="201" spans="1:27" ht="24.75" customHeight="1">
      <c r="A201" s="57"/>
      <c r="B201" s="58"/>
      <c r="C201" s="58"/>
      <c r="D201" s="58"/>
      <c r="E201" s="58"/>
      <c r="F201" s="57"/>
      <c r="G201" s="58"/>
      <c r="H201" s="58"/>
      <c r="I201" s="58"/>
      <c r="J201" s="58"/>
      <c r="L201" s="58"/>
      <c r="M201" s="58"/>
      <c r="N201" s="58"/>
      <c r="O201" s="58"/>
      <c r="P201" s="58"/>
      <c r="Q201" s="58"/>
      <c r="R201" s="58"/>
      <c r="S201" s="58"/>
      <c r="T201" s="58"/>
      <c r="U201" s="58"/>
      <c r="V201" s="58"/>
      <c r="W201" s="58"/>
      <c r="X201" s="58"/>
      <c r="Y201" s="58"/>
      <c r="Z201" s="58"/>
      <c r="AA201" s="58"/>
    </row>
    <row r="202" spans="1:27" ht="24.75" customHeight="1">
      <c r="A202" s="57"/>
      <c r="B202" s="58"/>
      <c r="C202" s="58"/>
      <c r="D202" s="58"/>
      <c r="E202" s="58"/>
      <c r="F202" s="57"/>
      <c r="G202" s="58"/>
      <c r="H202" s="58"/>
      <c r="I202" s="58"/>
      <c r="J202" s="58"/>
      <c r="L202" s="58"/>
      <c r="M202" s="58"/>
      <c r="N202" s="58"/>
      <c r="O202" s="58"/>
      <c r="P202" s="58"/>
      <c r="Q202" s="58"/>
      <c r="R202" s="58"/>
      <c r="S202" s="58"/>
      <c r="T202" s="58"/>
      <c r="U202" s="58"/>
      <c r="V202" s="58"/>
      <c r="W202" s="58"/>
      <c r="X202" s="58"/>
      <c r="Y202" s="58"/>
      <c r="Z202" s="58"/>
      <c r="AA202" s="58"/>
    </row>
    <row r="203" spans="1:27" ht="24.75" customHeight="1">
      <c r="A203" s="57"/>
      <c r="B203" s="58"/>
      <c r="C203" s="58"/>
      <c r="D203" s="58"/>
      <c r="E203" s="58"/>
      <c r="F203" s="57"/>
      <c r="G203" s="58"/>
      <c r="H203" s="58"/>
      <c r="I203" s="58"/>
      <c r="J203" s="58"/>
      <c r="L203" s="58"/>
      <c r="M203" s="58"/>
      <c r="N203" s="58"/>
      <c r="O203" s="58"/>
      <c r="P203" s="58"/>
      <c r="Q203" s="58"/>
      <c r="R203" s="58"/>
      <c r="S203" s="58"/>
      <c r="T203" s="58"/>
      <c r="U203" s="58"/>
      <c r="V203" s="58"/>
      <c r="W203" s="58"/>
      <c r="X203" s="58"/>
      <c r="Y203" s="58"/>
      <c r="Z203" s="58"/>
      <c r="AA203" s="58"/>
    </row>
    <row r="204" spans="1:27" ht="24.75" customHeight="1">
      <c r="A204" s="57"/>
      <c r="B204" s="58"/>
      <c r="C204" s="58"/>
      <c r="D204" s="58"/>
      <c r="E204" s="58"/>
      <c r="F204" s="57"/>
      <c r="G204" s="58"/>
      <c r="H204" s="58"/>
      <c r="I204" s="58"/>
      <c r="J204" s="58"/>
      <c r="L204" s="58"/>
      <c r="M204" s="58"/>
      <c r="N204" s="58"/>
      <c r="O204" s="58"/>
      <c r="P204" s="58"/>
      <c r="Q204" s="58"/>
      <c r="R204" s="58"/>
      <c r="S204" s="58"/>
      <c r="T204" s="58"/>
      <c r="U204" s="58"/>
      <c r="V204" s="58"/>
      <c r="W204" s="58"/>
      <c r="X204" s="58"/>
      <c r="Y204" s="58"/>
      <c r="Z204" s="58"/>
      <c r="AA204" s="58"/>
    </row>
    <row r="205" spans="1:27" ht="24.75" customHeight="1">
      <c r="A205" s="57"/>
      <c r="B205" s="58"/>
      <c r="C205" s="58"/>
      <c r="D205" s="58"/>
      <c r="E205" s="58"/>
      <c r="F205" s="57"/>
      <c r="G205" s="58"/>
      <c r="H205" s="58"/>
      <c r="I205" s="58"/>
      <c r="J205" s="58"/>
      <c r="L205" s="58"/>
      <c r="M205" s="58"/>
      <c r="N205" s="58"/>
      <c r="O205" s="58"/>
      <c r="P205" s="58"/>
      <c r="Q205" s="58"/>
      <c r="R205" s="58"/>
      <c r="S205" s="58"/>
      <c r="T205" s="58"/>
      <c r="U205" s="58"/>
      <c r="V205" s="58"/>
      <c r="W205" s="58"/>
      <c r="X205" s="58"/>
      <c r="Y205" s="58"/>
      <c r="Z205" s="58"/>
      <c r="AA205" s="58"/>
    </row>
    <row r="206" spans="1:27" ht="24.75" customHeight="1">
      <c r="A206" s="57"/>
      <c r="B206" s="58"/>
      <c r="C206" s="58"/>
      <c r="D206" s="58"/>
      <c r="E206" s="58"/>
      <c r="F206" s="57"/>
      <c r="G206" s="58"/>
      <c r="H206" s="58"/>
      <c r="I206" s="58"/>
      <c r="J206" s="58"/>
      <c r="L206" s="58"/>
      <c r="M206" s="58"/>
      <c r="N206" s="58"/>
      <c r="O206" s="58"/>
      <c r="P206" s="58"/>
      <c r="Q206" s="58"/>
      <c r="R206" s="58"/>
      <c r="S206" s="58"/>
      <c r="T206" s="58"/>
      <c r="U206" s="58"/>
      <c r="V206" s="58"/>
      <c r="W206" s="58"/>
      <c r="X206" s="58"/>
      <c r="Y206" s="58"/>
      <c r="Z206" s="58"/>
      <c r="AA206" s="58"/>
    </row>
    <row r="207" spans="1:27" ht="24.75" customHeight="1">
      <c r="A207" s="57"/>
      <c r="B207" s="58"/>
      <c r="C207" s="58"/>
      <c r="D207" s="58"/>
      <c r="E207" s="58"/>
      <c r="F207" s="57"/>
      <c r="G207" s="58"/>
      <c r="H207" s="58"/>
      <c r="I207" s="58"/>
      <c r="J207" s="58"/>
      <c r="L207" s="58"/>
      <c r="M207" s="58"/>
      <c r="N207" s="58"/>
      <c r="O207" s="58"/>
      <c r="P207" s="58"/>
      <c r="Q207" s="58"/>
      <c r="R207" s="58"/>
      <c r="S207" s="58"/>
      <c r="T207" s="58"/>
      <c r="U207" s="58"/>
      <c r="V207" s="58"/>
      <c r="W207" s="58"/>
      <c r="X207" s="58"/>
      <c r="Y207" s="58"/>
      <c r="Z207" s="58"/>
      <c r="AA207" s="58"/>
    </row>
    <row r="208" spans="1:27" ht="24.75" customHeight="1">
      <c r="A208" s="57"/>
      <c r="B208" s="58"/>
      <c r="C208" s="58"/>
      <c r="D208" s="58"/>
      <c r="E208" s="58"/>
      <c r="F208" s="57"/>
      <c r="G208" s="58"/>
      <c r="H208" s="58"/>
      <c r="I208" s="58"/>
      <c r="J208" s="58"/>
      <c r="L208" s="58"/>
      <c r="M208" s="58"/>
      <c r="N208" s="58"/>
      <c r="O208" s="58"/>
      <c r="P208" s="58"/>
      <c r="Q208" s="58"/>
      <c r="R208" s="58"/>
      <c r="S208" s="58"/>
      <c r="T208" s="58"/>
      <c r="U208" s="58"/>
      <c r="V208" s="58"/>
      <c r="W208" s="58"/>
      <c r="X208" s="58"/>
      <c r="Y208" s="58"/>
      <c r="Z208" s="58"/>
      <c r="AA208" s="58"/>
    </row>
    <row r="209" spans="1:27" ht="24.75" customHeight="1">
      <c r="A209" s="57"/>
      <c r="B209" s="58"/>
      <c r="C209" s="58"/>
      <c r="D209" s="58"/>
      <c r="E209" s="58"/>
      <c r="F209" s="57"/>
      <c r="G209" s="58"/>
      <c r="H209" s="58"/>
      <c r="I209" s="58"/>
      <c r="J209" s="58"/>
      <c r="L209" s="58"/>
      <c r="M209" s="58"/>
      <c r="N209" s="58"/>
      <c r="O209" s="58"/>
      <c r="P209" s="58"/>
      <c r="Q209" s="58"/>
      <c r="R209" s="58"/>
      <c r="S209" s="58"/>
      <c r="T209" s="58"/>
      <c r="U209" s="58"/>
      <c r="V209" s="58"/>
      <c r="W209" s="58"/>
      <c r="X209" s="58"/>
      <c r="Y209" s="58"/>
      <c r="Z209" s="58"/>
      <c r="AA209" s="58"/>
    </row>
    <row r="210" spans="1:27" ht="24.75" customHeight="1">
      <c r="A210" s="57"/>
      <c r="B210" s="58"/>
      <c r="C210" s="58"/>
      <c r="D210" s="58"/>
      <c r="E210" s="58"/>
      <c r="F210" s="57"/>
      <c r="G210" s="58"/>
      <c r="H210" s="58"/>
      <c r="I210" s="58"/>
      <c r="J210" s="58"/>
      <c r="L210" s="58"/>
      <c r="M210" s="58"/>
      <c r="N210" s="58"/>
      <c r="O210" s="58"/>
      <c r="P210" s="58"/>
      <c r="Q210" s="58"/>
      <c r="R210" s="58"/>
      <c r="S210" s="58"/>
      <c r="T210" s="58"/>
      <c r="U210" s="58"/>
      <c r="V210" s="58"/>
      <c r="W210" s="58"/>
      <c r="X210" s="58"/>
      <c r="Y210" s="58"/>
      <c r="Z210" s="58"/>
      <c r="AA210" s="58"/>
    </row>
    <row r="211" spans="1:27" ht="24.75" customHeight="1">
      <c r="A211" s="57"/>
      <c r="B211" s="58"/>
      <c r="C211" s="58"/>
      <c r="D211" s="58"/>
      <c r="E211" s="58"/>
      <c r="F211" s="57"/>
      <c r="G211" s="58"/>
      <c r="H211" s="58"/>
      <c r="I211" s="58"/>
      <c r="J211" s="58"/>
      <c r="L211" s="58"/>
      <c r="M211" s="58"/>
      <c r="N211" s="58"/>
      <c r="O211" s="58"/>
      <c r="P211" s="58"/>
      <c r="Q211" s="58"/>
      <c r="R211" s="58"/>
      <c r="S211" s="58"/>
      <c r="T211" s="58"/>
      <c r="U211" s="58"/>
      <c r="V211" s="58"/>
      <c r="W211" s="58"/>
      <c r="X211" s="58"/>
      <c r="Y211" s="58"/>
      <c r="Z211" s="58"/>
      <c r="AA211" s="58"/>
    </row>
    <row r="212" spans="1:27" ht="24.75" customHeight="1">
      <c r="A212" s="57"/>
      <c r="B212" s="58"/>
      <c r="C212" s="58"/>
      <c r="D212" s="58"/>
      <c r="E212" s="58"/>
      <c r="F212" s="57"/>
      <c r="G212" s="58"/>
      <c r="H212" s="58"/>
      <c r="I212" s="58"/>
      <c r="J212" s="58"/>
      <c r="L212" s="58"/>
      <c r="M212" s="58"/>
      <c r="N212" s="58"/>
      <c r="O212" s="58"/>
      <c r="P212" s="58"/>
      <c r="Q212" s="58"/>
      <c r="R212" s="58"/>
      <c r="S212" s="58"/>
      <c r="T212" s="58"/>
      <c r="U212" s="58"/>
      <c r="V212" s="58"/>
      <c r="W212" s="58"/>
      <c r="X212" s="58"/>
      <c r="Y212" s="58"/>
      <c r="Z212" s="58"/>
      <c r="AA212" s="58"/>
    </row>
    <row r="213" spans="1:27" ht="24.75" customHeight="1">
      <c r="A213" s="57"/>
      <c r="B213" s="58"/>
      <c r="C213" s="58"/>
      <c r="D213" s="58"/>
      <c r="E213" s="58"/>
      <c r="F213" s="57"/>
      <c r="G213" s="58"/>
      <c r="H213" s="58"/>
      <c r="I213" s="58"/>
      <c r="J213" s="58"/>
      <c r="L213" s="58"/>
      <c r="M213" s="58"/>
      <c r="N213" s="58"/>
      <c r="O213" s="58"/>
      <c r="P213" s="58"/>
      <c r="Q213" s="58"/>
      <c r="R213" s="58"/>
      <c r="S213" s="58"/>
      <c r="T213" s="58"/>
      <c r="U213" s="58"/>
      <c r="V213" s="58"/>
      <c r="W213" s="58"/>
      <c r="X213" s="58"/>
      <c r="Y213" s="58"/>
      <c r="Z213" s="58"/>
      <c r="AA213" s="58"/>
    </row>
    <row r="214" spans="1:27" ht="24.75" customHeight="1">
      <c r="A214" s="57"/>
      <c r="B214" s="58"/>
      <c r="C214" s="58"/>
      <c r="D214" s="58"/>
      <c r="E214" s="58"/>
      <c r="F214" s="57"/>
      <c r="G214" s="58"/>
      <c r="H214" s="58"/>
      <c r="I214" s="58"/>
      <c r="J214" s="58"/>
      <c r="L214" s="58"/>
      <c r="M214" s="58"/>
      <c r="N214" s="58"/>
      <c r="O214" s="58"/>
      <c r="P214" s="58"/>
      <c r="Q214" s="58"/>
      <c r="R214" s="58"/>
      <c r="S214" s="58"/>
      <c r="T214" s="58"/>
      <c r="U214" s="58"/>
      <c r="V214" s="58"/>
      <c r="W214" s="58"/>
      <c r="X214" s="58"/>
      <c r="Y214" s="58"/>
      <c r="Z214" s="58"/>
      <c r="AA214" s="58"/>
    </row>
    <row r="215" spans="1:27" ht="24.75" customHeight="1">
      <c r="A215" s="57"/>
      <c r="B215" s="58"/>
      <c r="C215" s="58"/>
      <c r="D215" s="58"/>
      <c r="E215" s="58"/>
      <c r="F215" s="57"/>
      <c r="G215" s="58"/>
      <c r="H215" s="58"/>
      <c r="I215" s="58"/>
      <c r="J215" s="58"/>
      <c r="L215" s="58"/>
      <c r="M215" s="58"/>
      <c r="N215" s="58"/>
      <c r="O215" s="58"/>
      <c r="P215" s="58"/>
      <c r="Q215" s="58"/>
      <c r="R215" s="58"/>
      <c r="S215" s="58"/>
      <c r="T215" s="58"/>
      <c r="U215" s="58"/>
      <c r="V215" s="58"/>
      <c r="W215" s="58"/>
      <c r="X215" s="58"/>
      <c r="Y215" s="58"/>
      <c r="Z215" s="58"/>
      <c r="AA215" s="58"/>
    </row>
    <row r="216" spans="1:27" ht="24.75" customHeight="1">
      <c r="A216" s="57"/>
      <c r="B216" s="58"/>
      <c r="C216" s="58"/>
      <c r="D216" s="58"/>
      <c r="E216" s="58"/>
      <c r="F216" s="57"/>
      <c r="G216" s="58"/>
      <c r="H216" s="58"/>
      <c r="I216" s="58"/>
      <c r="J216" s="58"/>
      <c r="L216" s="58"/>
      <c r="M216" s="58"/>
      <c r="N216" s="58"/>
      <c r="O216" s="58"/>
      <c r="P216" s="58"/>
      <c r="Q216" s="58"/>
      <c r="R216" s="58"/>
      <c r="S216" s="58"/>
      <c r="T216" s="58"/>
      <c r="U216" s="58"/>
      <c r="V216" s="58"/>
      <c r="W216" s="58"/>
      <c r="X216" s="58"/>
      <c r="Y216" s="58"/>
      <c r="Z216" s="58"/>
      <c r="AA216" s="58"/>
    </row>
    <row r="217" spans="1:27" ht="24.75" customHeight="1">
      <c r="A217" s="57"/>
      <c r="B217" s="58"/>
      <c r="C217" s="58"/>
      <c r="D217" s="58"/>
      <c r="E217" s="58"/>
      <c r="F217" s="57"/>
      <c r="G217" s="58"/>
      <c r="H217" s="58"/>
      <c r="I217" s="58"/>
      <c r="J217" s="58"/>
      <c r="L217" s="58"/>
      <c r="M217" s="58"/>
      <c r="N217" s="58"/>
      <c r="O217" s="58"/>
      <c r="P217" s="58"/>
      <c r="Q217" s="58"/>
      <c r="R217" s="58"/>
      <c r="S217" s="58"/>
      <c r="T217" s="58"/>
      <c r="U217" s="58"/>
      <c r="V217" s="58"/>
      <c r="W217" s="58"/>
      <c r="X217" s="58"/>
      <c r="Y217" s="58"/>
      <c r="Z217" s="58"/>
      <c r="AA217" s="58"/>
    </row>
    <row r="218" spans="1:27" ht="24.75" customHeight="1">
      <c r="A218" s="57"/>
      <c r="B218" s="58"/>
      <c r="C218" s="58"/>
      <c r="D218" s="58"/>
      <c r="E218" s="58"/>
      <c r="F218" s="57"/>
      <c r="G218" s="58"/>
      <c r="H218" s="58"/>
      <c r="I218" s="58"/>
      <c r="J218" s="58"/>
      <c r="L218" s="58"/>
      <c r="M218" s="58"/>
      <c r="N218" s="58"/>
      <c r="O218" s="58"/>
      <c r="P218" s="58"/>
      <c r="Q218" s="58"/>
      <c r="R218" s="58"/>
      <c r="S218" s="58"/>
      <c r="T218" s="58"/>
      <c r="U218" s="58"/>
      <c r="V218" s="58"/>
      <c r="W218" s="58"/>
      <c r="X218" s="58"/>
      <c r="Y218" s="58"/>
      <c r="Z218" s="58"/>
      <c r="AA218" s="58"/>
    </row>
    <row r="219" spans="1:27" ht="24.75" customHeight="1">
      <c r="A219" s="57"/>
      <c r="B219" s="58"/>
      <c r="C219" s="58"/>
      <c r="D219" s="58"/>
      <c r="E219" s="58"/>
      <c r="F219" s="57"/>
      <c r="G219" s="58"/>
      <c r="H219" s="58"/>
      <c r="I219" s="58"/>
      <c r="J219" s="58"/>
      <c r="L219" s="58"/>
      <c r="M219" s="58"/>
      <c r="N219" s="58"/>
      <c r="O219" s="58"/>
      <c r="P219" s="58"/>
      <c r="Q219" s="58"/>
      <c r="R219" s="58"/>
      <c r="S219" s="58"/>
      <c r="T219" s="58"/>
      <c r="U219" s="58"/>
      <c r="V219" s="58"/>
      <c r="W219" s="58"/>
      <c r="X219" s="58"/>
      <c r="Y219" s="58"/>
      <c r="Z219" s="58"/>
      <c r="AA219" s="58"/>
    </row>
    <row r="220" spans="1:27" ht="24.75" customHeight="1">
      <c r="A220" s="57"/>
      <c r="B220" s="58"/>
      <c r="C220" s="58"/>
      <c r="D220" s="58"/>
      <c r="E220" s="58"/>
      <c r="F220" s="57"/>
      <c r="G220" s="58"/>
      <c r="H220" s="58"/>
      <c r="I220" s="58"/>
      <c r="J220" s="58"/>
      <c r="L220" s="58"/>
      <c r="M220" s="58"/>
      <c r="N220" s="58"/>
      <c r="O220" s="58"/>
      <c r="P220" s="58"/>
      <c r="Q220" s="58"/>
      <c r="R220" s="58"/>
      <c r="S220" s="58"/>
      <c r="T220" s="58"/>
      <c r="U220" s="58"/>
      <c r="V220" s="58"/>
      <c r="W220" s="58"/>
      <c r="X220" s="58"/>
      <c r="Y220" s="58"/>
      <c r="Z220" s="58"/>
      <c r="AA220" s="58"/>
    </row>
    <row r="221" spans="1:27" ht="24.75" customHeight="1">
      <c r="A221" s="57"/>
      <c r="B221" s="58"/>
      <c r="C221" s="58"/>
      <c r="D221" s="58"/>
      <c r="E221" s="58"/>
      <c r="F221" s="57"/>
      <c r="G221" s="58"/>
      <c r="H221" s="58"/>
      <c r="I221" s="58"/>
      <c r="J221" s="58"/>
      <c r="L221" s="58"/>
      <c r="M221" s="58"/>
      <c r="N221" s="58"/>
      <c r="O221" s="58"/>
      <c r="P221" s="58"/>
      <c r="Q221" s="58"/>
      <c r="R221" s="58"/>
      <c r="S221" s="58"/>
      <c r="T221" s="58"/>
      <c r="U221" s="58"/>
      <c r="V221" s="58"/>
      <c r="W221" s="58"/>
      <c r="X221" s="58"/>
      <c r="Y221" s="58"/>
      <c r="Z221" s="58"/>
      <c r="AA221" s="58"/>
    </row>
    <row r="222" spans="1:27" ht="24.75" customHeight="1">
      <c r="A222" s="57"/>
      <c r="B222" s="58"/>
      <c r="C222" s="58"/>
      <c r="D222" s="58"/>
      <c r="E222" s="58"/>
      <c r="F222" s="57"/>
      <c r="G222" s="58"/>
      <c r="H222" s="58"/>
      <c r="I222" s="58"/>
      <c r="J222" s="58"/>
      <c r="L222" s="58"/>
      <c r="M222" s="58"/>
      <c r="N222" s="58"/>
      <c r="O222" s="58"/>
      <c r="P222" s="58"/>
      <c r="Q222" s="58"/>
      <c r="R222" s="58"/>
      <c r="S222" s="58"/>
      <c r="T222" s="58"/>
      <c r="U222" s="58"/>
      <c r="V222" s="58"/>
      <c r="W222" s="58"/>
      <c r="X222" s="58"/>
      <c r="Y222" s="58"/>
      <c r="Z222" s="58"/>
      <c r="AA222" s="58"/>
    </row>
    <row r="223" spans="1:27" ht="24.75" customHeight="1">
      <c r="A223" s="57"/>
      <c r="B223" s="58"/>
      <c r="C223" s="58"/>
      <c r="D223" s="58"/>
      <c r="E223" s="58"/>
      <c r="F223" s="57"/>
      <c r="G223" s="58"/>
      <c r="H223" s="58"/>
      <c r="I223" s="58"/>
      <c r="J223" s="58"/>
      <c r="L223" s="58"/>
      <c r="M223" s="58"/>
      <c r="N223" s="58"/>
      <c r="O223" s="58"/>
      <c r="P223" s="58"/>
      <c r="Q223" s="58"/>
      <c r="R223" s="58"/>
      <c r="S223" s="58"/>
      <c r="T223" s="58"/>
      <c r="U223" s="58"/>
      <c r="V223" s="58"/>
      <c r="W223" s="58"/>
      <c r="X223" s="58"/>
      <c r="Y223" s="58"/>
      <c r="Z223" s="58"/>
      <c r="AA223" s="58"/>
    </row>
    <row r="224" spans="1:27" ht="24.75" customHeight="1">
      <c r="A224" s="57"/>
      <c r="B224" s="58"/>
      <c r="C224" s="58"/>
      <c r="D224" s="58"/>
      <c r="E224" s="58"/>
      <c r="F224" s="57"/>
      <c r="G224" s="58"/>
      <c r="H224" s="58"/>
      <c r="I224" s="58"/>
      <c r="J224" s="58"/>
      <c r="L224" s="58"/>
      <c r="M224" s="58"/>
      <c r="N224" s="58"/>
      <c r="O224" s="58"/>
      <c r="P224" s="58"/>
      <c r="Q224" s="58"/>
      <c r="R224" s="58"/>
      <c r="S224" s="58"/>
      <c r="T224" s="58"/>
      <c r="U224" s="58"/>
      <c r="V224" s="58"/>
      <c r="W224" s="58"/>
      <c r="X224" s="58"/>
      <c r="Y224" s="58"/>
      <c r="Z224" s="58"/>
      <c r="AA224" s="58"/>
    </row>
    <row r="225" spans="1:27" ht="24.75" customHeight="1">
      <c r="A225" s="57"/>
      <c r="B225" s="58"/>
      <c r="C225" s="58"/>
      <c r="D225" s="58"/>
      <c r="E225" s="58"/>
      <c r="F225" s="57"/>
      <c r="G225" s="58"/>
      <c r="H225" s="58"/>
      <c r="I225" s="58"/>
      <c r="J225" s="58"/>
      <c r="L225" s="58"/>
      <c r="M225" s="58"/>
      <c r="N225" s="58"/>
      <c r="O225" s="58"/>
      <c r="P225" s="58"/>
      <c r="Q225" s="58"/>
      <c r="R225" s="58"/>
      <c r="S225" s="58"/>
      <c r="T225" s="58"/>
      <c r="U225" s="58"/>
      <c r="V225" s="58"/>
      <c r="W225" s="58"/>
      <c r="X225" s="58"/>
      <c r="Y225" s="58"/>
      <c r="Z225" s="58"/>
      <c r="AA225" s="58"/>
    </row>
    <row r="226" spans="1:27" ht="24.75" customHeight="1">
      <c r="A226" s="57"/>
      <c r="B226" s="58"/>
      <c r="C226" s="58"/>
      <c r="D226" s="58"/>
      <c r="E226" s="58"/>
      <c r="F226" s="57"/>
      <c r="G226" s="58"/>
      <c r="H226" s="58"/>
      <c r="I226" s="58"/>
      <c r="J226" s="58"/>
      <c r="L226" s="58"/>
      <c r="M226" s="58"/>
      <c r="N226" s="58"/>
      <c r="O226" s="58"/>
      <c r="P226" s="58"/>
      <c r="Q226" s="58"/>
      <c r="R226" s="58"/>
      <c r="S226" s="58"/>
      <c r="T226" s="58"/>
      <c r="U226" s="58"/>
      <c r="V226" s="58"/>
      <c r="W226" s="58"/>
      <c r="X226" s="58"/>
      <c r="Y226" s="58"/>
      <c r="Z226" s="58"/>
      <c r="AA226" s="58"/>
    </row>
    <row r="227" spans="1:27" ht="24.75" customHeight="1">
      <c r="A227" s="57"/>
      <c r="B227" s="58"/>
      <c r="C227" s="58"/>
      <c r="D227" s="58"/>
      <c r="E227" s="58"/>
      <c r="F227" s="57"/>
      <c r="G227" s="58"/>
      <c r="H227" s="58"/>
      <c r="I227" s="58"/>
      <c r="J227" s="58"/>
      <c r="L227" s="58"/>
      <c r="M227" s="58"/>
      <c r="N227" s="58"/>
      <c r="O227" s="58"/>
      <c r="P227" s="58"/>
      <c r="Q227" s="58"/>
      <c r="R227" s="58"/>
      <c r="S227" s="58"/>
      <c r="T227" s="58"/>
      <c r="U227" s="58"/>
      <c r="V227" s="58"/>
      <c r="W227" s="58"/>
      <c r="X227" s="58"/>
      <c r="Y227" s="58"/>
      <c r="Z227" s="58"/>
      <c r="AA227" s="58"/>
    </row>
    <row r="228" spans="1:27" ht="24.75" customHeight="1">
      <c r="A228" s="57"/>
      <c r="B228" s="58"/>
      <c r="C228" s="58"/>
      <c r="D228" s="58"/>
      <c r="E228" s="58"/>
      <c r="F228" s="57"/>
      <c r="G228" s="58"/>
      <c r="H228" s="58"/>
      <c r="I228" s="58"/>
      <c r="J228" s="58"/>
      <c r="L228" s="58"/>
      <c r="M228" s="58"/>
      <c r="N228" s="58"/>
      <c r="O228" s="58"/>
      <c r="P228" s="58"/>
      <c r="Q228" s="58"/>
      <c r="R228" s="58"/>
      <c r="S228" s="58"/>
      <c r="T228" s="58"/>
      <c r="U228" s="58"/>
      <c r="V228" s="58"/>
      <c r="W228" s="58"/>
      <c r="X228" s="58"/>
      <c r="Y228" s="58"/>
      <c r="Z228" s="58"/>
      <c r="AA228" s="58"/>
    </row>
    <row r="229" spans="1:27" ht="24.75" customHeight="1">
      <c r="A229" s="57"/>
      <c r="B229" s="58"/>
      <c r="C229" s="58"/>
      <c r="D229" s="58"/>
      <c r="E229" s="58"/>
      <c r="F229" s="57"/>
      <c r="G229" s="58"/>
      <c r="H229" s="58"/>
      <c r="I229" s="58"/>
      <c r="J229" s="58"/>
      <c r="L229" s="58"/>
      <c r="M229" s="58"/>
      <c r="N229" s="58"/>
      <c r="O229" s="58"/>
      <c r="P229" s="58"/>
      <c r="Q229" s="58"/>
      <c r="R229" s="58"/>
      <c r="S229" s="58"/>
      <c r="T229" s="58"/>
      <c r="U229" s="58"/>
      <c r="V229" s="58"/>
      <c r="W229" s="58"/>
      <c r="X229" s="58"/>
      <c r="Y229" s="58"/>
      <c r="Z229" s="58"/>
      <c r="AA229" s="58"/>
    </row>
    <row r="230" spans="1:27" ht="24.75" customHeight="1">
      <c r="A230" s="57"/>
      <c r="B230" s="58"/>
      <c r="C230" s="58"/>
      <c r="D230" s="58"/>
      <c r="E230" s="58"/>
      <c r="F230" s="57"/>
      <c r="G230" s="58"/>
      <c r="H230" s="58"/>
      <c r="I230" s="58"/>
      <c r="J230" s="58"/>
      <c r="L230" s="58"/>
      <c r="M230" s="58"/>
      <c r="N230" s="58"/>
      <c r="O230" s="58"/>
      <c r="P230" s="58"/>
      <c r="Q230" s="58"/>
      <c r="R230" s="58"/>
      <c r="S230" s="58"/>
      <c r="T230" s="58"/>
      <c r="U230" s="58"/>
      <c r="V230" s="58"/>
      <c r="W230" s="58"/>
      <c r="X230" s="58"/>
      <c r="Y230" s="58"/>
      <c r="Z230" s="58"/>
      <c r="AA230" s="58"/>
    </row>
    <row r="231" spans="1:27" ht="24.75" customHeight="1">
      <c r="A231" s="57"/>
      <c r="B231" s="58"/>
      <c r="C231" s="58"/>
      <c r="D231" s="58"/>
      <c r="E231" s="58"/>
      <c r="F231" s="57"/>
      <c r="G231" s="58"/>
      <c r="H231" s="58"/>
      <c r="I231" s="58"/>
      <c r="J231" s="58"/>
      <c r="L231" s="58"/>
      <c r="M231" s="58"/>
      <c r="N231" s="58"/>
      <c r="O231" s="58"/>
      <c r="P231" s="58"/>
      <c r="Q231" s="58"/>
      <c r="R231" s="58"/>
      <c r="S231" s="58"/>
      <c r="T231" s="58"/>
      <c r="U231" s="58"/>
      <c r="V231" s="58"/>
      <c r="W231" s="58"/>
      <c r="X231" s="58"/>
      <c r="Y231" s="58"/>
      <c r="Z231" s="58"/>
      <c r="AA231" s="58"/>
    </row>
    <row r="232" spans="1:27" ht="24.75" customHeight="1">
      <c r="A232" s="57"/>
      <c r="B232" s="58"/>
      <c r="C232" s="58"/>
      <c r="D232" s="58"/>
      <c r="E232" s="58"/>
      <c r="F232" s="57"/>
      <c r="G232" s="58"/>
      <c r="H232" s="58"/>
      <c r="I232" s="58"/>
      <c r="J232" s="58"/>
      <c r="L232" s="58"/>
      <c r="M232" s="58"/>
      <c r="N232" s="58"/>
      <c r="O232" s="58"/>
      <c r="P232" s="58"/>
      <c r="Q232" s="58"/>
      <c r="R232" s="58"/>
      <c r="S232" s="58"/>
      <c r="T232" s="58"/>
      <c r="U232" s="58"/>
      <c r="V232" s="58"/>
      <c r="W232" s="58"/>
      <c r="X232" s="58"/>
      <c r="Y232" s="58"/>
      <c r="Z232" s="58"/>
      <c r="AA232" s="58"/>
    </row>
    <row r="233" spans="1:27" ht="24.75" customHeight="1">
      <c r="A233" s="57"/>
      <c r="B233" s="58"/>
      <c r="C233" s="58"/>
      <c r="D233" s="58"/>
      <c r="E233" s="58"/>
      <c r="F233" s="57"/>
      <c r="G233" s="58"/>
      <c r="H233" s="58"/>
      <c r="I233" s="58"/>
      <c r="J233" s="58"/>
      <c r="L233" s="58"/>
      <c r="M233" s="58"/>
      <c r="N233" s="58"/>
      <c r="O233" s="58"/>
      <c r="P233" s="58"/>
      <c r="Q233" s="58"/>
      <c r="R233" s="58"/>
      <c r="S233" s="58"/>
      <c r="T233" s="58"/>
      <c r="U233" s="58"/>
      <c r="V233" s="58"/>
      <c r="W233" s="58"/>
      <c r="X233" s="58"/>
      <c r="Y233" s="58"/>
      <c r="Z233" s="58"/>
      <c r="AA233" s="58"/>
    </row>
    <row r="234" spans="1:27" ht="24.75" customHeight="1">
      <c r="A234" s="57"/>
      <c r="B234" s="58"/>
      <c r="C234" s="58"/>
      <c r="D234" s="58"/>
      <c r="E234" s="58"/>
      <c r="F234" s="57"/>
      <c r="G234" s="58"/>
      <c r="H234" s="58"/>
      <c r="I234" s="58"/>
      <c r="J234" s="58"/>
      <c r="L234" s="58"/>
      <c r="M234" s="58"/>
      <c r="N234" s="58"/>
      <c r="O234" s="58"/>
      <c r="P234" s="58"/>
      <c r="Q234" s="58"/>
      <c r="R234" s="58"/>
      <c r="S234" s="58"/>
      <c r="T234" s="58"/>
      <c r="U234" s="58"/>
      <c r="V234" s="58"/>
      <c r="W234" s="58"/>
      <c r="X234" s="58"/>
      <c r="Y234" s="58"/>
      <c r="Z234" s="58"/>
      <c r="AA234" s="58"/>
    </row>
    <row r="235" spans="1:27" ht="24.75" customHeight="1">
      <c r="A235" s="57"/>
      <c r="B235" s="58"/>
      <c r="C235" s="58"/>
      <c r="D235" s="58"/>
      <c r="E235" s="58"/>
      <c r="F235" s="57"/>
      <c r="G235" s="58"/>
      <c r="H235" s="58"/>
      <c r="I235" s="58"/>
      <c r="J235" s="58"/>
      <c r="L235" s="58"/>
      <c r="M235" s="58"/>
      <c r="N235" s="58"/>
      <c r="O235" s="58"/>
      <c r="P235" s="58"/>
      <c r="Q235" s="58"/>
      <c r="R235" s="58"/>
      <c r="S235" s="58"/>
      <c r="T235" s="58"/>
      <c r="U235" s="58"/>
      <c r="V235" s="58"/>
      <c r="W235" s="58"/>
      <c r="X235" s="58"/>
      <c r="Y235" s="58"/>
      <c r="Z235" s="58"/>
      <c r="AA235" s="58"/>
    </row>
    <row r="236" spans="1:27" ht="24.75" customHeight="1">
      <c r="A236" s="57"/>
      <c r="B236" s="58"/>
      <c r="C236" s="58"/>
      <c r="D236" s="58"/>
      <c r="E236" s="58"/>
      <c r="F236" s="57"/>
      <c r="G236" s="58"/>
      <c r="H236" s="58"/>
      <c r="I236" s="58"/>
      <c r="J236" s="58"/>
      <c r="L236" s="58"/>
      <c r="M236" s="58"/>
      <c r="N236" s="58"/>
      <c r="O236" s="58"/>
      <c r="P236" s="58"/>
      <c r="Q236" s="58"/>
      <c r="R236" s="58"/>
      <c r="S236" s="58"/>
      <c r="T236" s="58"/>
      <c r="U236" s="58"/>
      <c r="V236" s="58"/>
      <c r="W236" s="58"/>
      <c r="X236" s="58"/>
      <c r="Y236" s="58"/>
      <c r="Z236" s="58"/>
      <c r="AA236" s="58"/>
    </row>
    <row r="237" spans="1:27" ht="24.75" customHeight="1">
      <c r="A237" s="57"/>
      <c r="B237" s="58"/>
      <c r="C237" s="58"/>
      <c r="D237" s="58"/>
      <c r="E237" s="58"/>
      <c r="F237" s="57"/>
      <c r="G237" s="58"/>
      <c r="H237" s="58"/>
      <c r="I237" s="58"/>
      <c r="J237" s="58"/>
      <c r="L237" s="58"/>
      <c r="M237" s="58"/>
      <c r="N237" s="58"/>
      <c r="O237" s="58"/>
      <c r="P237" s="58"/>
      <c r="Q237" s="58"/>
      <c r="R237" s="58"/>
      <c r="S237" s="58"/>
      <c r="T237" s="58"/>
      <c r="U237" s="58"/>
      <c r="V237" s="58"/>
      <c r="W237" s="58"/>
      <c r="X237" s="58"/>
      <c r="Y237" s="58"/>
      <c r="Z237" s="58"/>
      <c r="AA237" s="58"/>
    </row>
    <row r="238" spans="1:27" ht="24.75" customHeight="1">
      <c r="A238" s="57"/>
      <c r="B238" s="58"/>
      <c r="C238" s="58"/>
      <c r="D238" s="58"/>
      <c r="E238" s="58"/>
      <c r="F238" s="57"/>
      <c r="G238" s="58"/>
      <c r="H238" s="58"/>
      <c r="I238" s="58"/>
      <c r="J238" s="58"/>
      <c r="L238" s="58"/>
      <c r="M238" s="58"/>
      <c r="N238" s="58"/>
      <c r="O238" s="58"/>
      <c r="P238" s="58"/>
      <c r="Q238" s="58"/>
      <c r="R238" s="58"/>
      <c r="S238" s="58"/>
      <c r="T238" s="58"/>
      <c r="U238" s="58"/>
      <c r="V238" s="58"/>
      <c r="W238" s="58"/>
      <c r="X238" s="58"/>
      <c r="Y238" s="58"/>
      <c r="Z238" s="58"/>
      <c r="AA238" s="58"/>
    </row>
    <row r="239" spans="1:27" ht="24.75" customHeight="1">
      <c r="A239" s="57"/>
      <c r="B239" s="58"/>
      <c r="C239" s="58"/>
      <c r="D239" s="58"/>
      <c r="E239" s="58"/>
      <c r="F239" s="57"/>
      <c r="G239" s="58"/>
      <c r="H239" s="58"/>
      <c r="I239" s="58"/>
      <c r="J239" s="58"/>
      <c r="L239" s="58"/>
      <c r="M239" s="58"/>
      <c r="N239" s="58"/>
      <c r="O239" s="58"/>
      <c r="P239" s="58"/>
      <c r="Q239" s="58"/>
      <c r="R239" s="58"/>
      <c r="S239" s="58"/>
      <c r="T239" s="58"/>
      <c r="U239" s="58"/>
      <c r="V239" s="58"/>
      <c r="W239" s="58"/>
      <c r="X239" s="58"/>
      <c r="Y239" s="58"/>
      <c r="Z239" s="58"/>
      <c r="AA239" s="58"/>
    </row>
    <row r="240" spans="1:27" ht="24.75" customHeight="1">
      <c r="A240" s="57"/>
      <c r="B240" s="58"/>
      <c r="C240" s="58"/>
      <c r="D240" s="58"/>
      <c r="E240" s="58"/>
      <c r="F240" s="57"/>
      <c r="G240" s="58"/>
      <c r="H240" s="58"/>
      <c r="I240" s="58"/>
      <c r="J240" s="58"/>
      <c r="L240" s="58"/>
      <c r="M240" s="58"/>
      <c r="N240" s="58"/>
      <c r="O240" s="58"/>
      <c r="P240" s="58"/>
      <c r="Q240" s="58"/>
      <c r="R240" s="58"/>
      <c r="S240" s="58"/>
      <c r="T240" s="58"/>
      <c r="U240" s="58"/>
      <c r="V240" s="58"/>
      <c r="W240" s="58"/>
      <c r="X240" s="58"/>
      <c r="Y240" s="58"/>
      <c r="Z240" s="58"/>
      <c r="AA240" s="58"/>
    </row>
    <row r="241" spans="1:27" ht="24.75" customHeight="1">
      <c r="A241" s="57"/>
      <c r="B241" s="58"/>
      <c r="C241" s="58"/>
      <c r="D241" s="58"/>
      <c r="E241" s="58"/>
      <c r="F241" s="57"/>
      <c r="G241" s="58"/>
      <c r="H241" s="58"/>
      <c r="I241" s="58"/>
      <c r="J241" s="58"/>
      <c r="L241" s="58"/>
      <c r="M241" s="58"/>
      <c r="N241" s="58"/>
      <c r="O241" s="58"/>
      <c r="P241" s="58"/>
      <c r="Q241" s="58"/>
      <c r="R241" s="58"/>
      <c r="S241" s="58"/>
      <c r="T241" s="58"/>
      <c r="U241" s="58"/>
      <c r="V241" s="58"/>
      <c r="W241" s="58"/>
      <c r="X241" s="58"/>
      <c r="Y241" s="58"/>
      <c r="Z241" s="58"/>
      <c r="AA241" s="58"/>
    </row>
    <row r="242" spans="1:27" ht="24.75" customHeight="1">
      <c r="A242" s="57"/>
      <c r="B242" s="58"/>
      <c r="C242" s="58"/>
      <c r="D242" s="58"/>
      <c r="E242" s="58"/>
      <c r="F242" s="57"/>
      <c r="G242" s="58"/>
      <c r="H242" s="58"/>
      <c r="I242" s="58"/>
      <c r="J242" s="58"/>
      <c r="L242" s="58"/>
      <c r="M242" s="58"/>
      <c r="N242" s="58"/>
      <c r="O242" s="58"/>
      <c r="P242" s="58"/>
      <c r="Q242" s="58"/>
      <c r="R242" s="58"/>
      <c r="S242" s="58"/>
      <c r="T242" s="58"/>
      <c r="U242" s="58"/>
      <c r="V242" s="58"/>
      <c r="W242" s="58"/>
      <c r="X242" s="58"/>
      <c r="Y242" s="58"/>
      <c r="Z242" s="58"/>
      <c r="AA242" s="58"/>
    </row>
    <row r="243" spans="1:27" ht="24.75" customHeight="1">
      <c r="A243" s="57"/>
      <c r="B243" s="58"/>
      <c r="C243" s="58"/>
      <c r="D243" s="58"/>
      <c r="E243" s="58"/>
      <c r="F243" s="57"/>
      <c r="G243" s="58"/>
      <c r="H243" s="58"/>
      <c r="I243" s="58"/>
      <c r="J243" s="58"/>
      <c r="L243" s="58"/>
      <c r="M243" s="58"/>
      <c r="N243" s="58"/>
      <c r="O243" s="58"/>
      <c r="P243" s="58"/>
      <c r="Q243" s="58"/>
      <c r="R243" s="58"/>
      <c r="S243" s="58"/>
      <c r="T243" s="58"/>
      <c r="U243" s="58"/>
      <c r="V243" s="58"/>
      <c r="W243" s="58"/>
      <c r="X243" s="58"/>
      <c r="Y243" s="58"/>
      <c r="Z243" s="58"/>
      <c r="AA243" s="58"/>
    </row>
    <row r="244" spans="1:27" ht="24.75" customHeight="1">
      <c r="A244" s="57"/>
      <c r="B244" s="58"/>
      <c r="C244" s="58"/>
      <c r="D244" s="58"/>
      <c r="E244" s="58"/>
      <c r="F244" s="57"/>
      <c r="G244" s="58"/>
      <c r="H244" s="58"/>
      <c r="I244" s="58"/>
      <c r="J244" s="58"/>
      <c r="L244" s="58"/>
      <c r="M244" s="58"/>
      <c r="N244" s="58"/>
      <c r="O244" s="58"/>
      <c r="P244" s="58"/>
      <c r="Q244" s="58"/>
      <c r="R244" s="58"/>
      <c r="S244" s="58"/>
      <c r="T244" s="58"/>
      <c r="U244" s="58"/>
      <c r="V244" s="58"/>
      <c r="W244" s="58"/>
      <c r="X244" s="58"/>
      <c r="Y244" s="58"/>
      <c r="Z244" s="58"/>
      <c r="AA244" s="58"/>
    </row>
    <row r="245" spans="1:27" ht="24.75" customHeight="1">
      <c r="A245" s="57"/>
      <c r="B245" s="58"/>
      <c r="C245" s="58"/>
      <c r="D245" s="58"/>
      <c r="E245" s="58"/>
      <c r="F245" s="57"/>
      <c r="G245" s="58"/>
      <c r="H245" s="58"/>
      <c r="I245" s="58"/>
      <c r="J245" s="58"/>
      <c r="L245" s="58"/>
      <c r="M245" s="58"/>
      <c r="N245" s="58"/>
      <c r="O245" s="58"/>
      <c r="P245" s="58"/>
      <c r="Q245" s="58"/>
      <c r="R245" s="58"/>
      <c r="S245" s="58"/>
      <c r="T245" s="58"/>
      <c r="U245" s="58"/>
      <c r="V245" s="58"/>
      <c r="W245" s="58"/>
      <c r="X245" s="58"/>
      <c r="Y245" s="58"/>
      <c r="Z245" s="58"/>
      <c r="AA245" s="58"/>
    </row>
    <row r="246" spans="1:27" ht="24.75" customHeight="1">
      <c r="A246" s="57"/>
      <c r="B246" s="58"/>
      <c r="C246" s="58"/>
      <c r="D246" s="58"/>
      <c r="E246" s="58"/>
      <c r="F246" s="57"/>
      <c r="G246" s="58"/>
      <c r="H246" s="58"/>
      <c r="I246" s="58"/>
      <c r="J246" s="58"/>
      <c r="L246" s="58"/>
      <c r="M246" s="58"/>
      <c r="N246" s="58"/>
      <c r="O246" s="58"/>
      <c r="P246" s="58"/>
      <c r="Q246" s="58"/>
      <c r="R246" s="58"/>
      <c r="S246" s="58"/>
      <c r="T246" s="58"/>
      <c r="U246" s="58"/>
      <c r="V246" s="58"/>
      <c r="W246" s="58"/>
      <c r="X246" s="58"/>
      <c r="Y246" s="58"/>
      <c r="Z246" s="58"/>
      <c r="AA246" s="58"/>
    </row>
    <row r="247" spans="1:27" ht="24.75" customHeight="1">
      <c r="A247" s="57"/>
      <c r="B247" s="58"/>
      <c r="C247" s="58"/>
      <c r="D247" s="58"/>
      <c r="E247" s="58"/>
      <c r="F247" s="57"/>
      <c r="G247" s="58"/>
      <c r="H247" s="58"/>
      <c r="I247" s="58"/>
      <c r="J247" s="58"/>
      <c r="L247" s="58"/>
      <c r="M247" s="58"/>
      <c r="N247" s="58"/>
      <c r="O247" s="58"/>
      <c r="P247" s="58"/>
      <c r="Q247" s="58"/>
      <c r="R247" s="58"/>
      <c r="S247" s="58"/>
      <c r="T247" s="58"/>
      <c r="U247" s="58"/>
      <c r="V247" s="58"/>
      <c r="W247" s="58"/>
      <c r="X247" s="58"/>
      <c r="Y247" s="58"/>
      <c r="Z247" s="58"/>
      <c r="AA247" s="58"/>
    </row>
    <row r="248" spans="1:27" ht="24.75" customHeight="1">
      <c r="A248" s="57"/>
      <c r="B248" s="58"/>
      <c r="C248" s="58"/>
      <c r="D248" s="58"/>
      <c r="E248" s="58"/>
      <c r="F248" s="57"/>
      <c r="G248" s="58"/>
      <c r="H248" s="58"/>
      <c r="I248" s="58"/>
      <c r="J248" s="58"/>
      <c r="L248" s="58"/>
      <c r="M248" s="58"/>
      <c r="N248" s="58"/>
      <c r="O248" s="58"/>
      <c r="P248" s="58"/>
      <c r="Q248" s="58"/>
      <c r="R248" s="58"/>
      <c r="S248" s="58"/>
      <c r="T248" s="58"/>
      <c r="U248" s="58"/>
      <c r="V248" s="58"/>
      <c r="W248" s="58"/>
      <c r="X248" s="58"/>
      <c r="Y248" s="58"/>
      <c r="Z248" s="58"/>
      <c r="AA248" s="58"/>
    </row>
    <row r="249" spans="1:27" ht="24.75" customHeight="1">
      <c r="A249" s="57"/>
      <c r="B249" s="58"/>
      <c r="C249" s="58"/>
      <c r="D249" s="58"/>
      <c r="E249" s="58"/>
      <c r="F249" s="57"/>
      <c r="G249" s="58"/>
      <c r="H249" s="58"/>
      <c r="I249" s="58"/>
      <c r="J249" s="58"/>
      <c r="L249" s="58"/>
      <c r="M249" s="58"/>
      <c r="N249" s="58"/>
      <c r="O249" s="58"/>
      <c r="P249" s="58"/>
      <c r="Q249" s="58"/>
      <c r="R249" s="58"/>
      <c r="S249" s="58"/>
      <c r="T249" s="58"/>
      <c r="U249" s="58"/>
      <c r="V249" s="58"/>
      <c r="W249" s="58"/>
      <c r="X249" s="58"/>
      <c r="Y249" s="58"/>
      <c r="Z249" s="58"/>
      <c r="AA249" s="58"/>
    </row>
    <row r="250" spans="1:27" ht="24.75" customHeight="1">
      <c r="A250" s="57"/>
      <c r="B250" s="58"/>
      <c r="C250" s="58"/>
      <c r="D250" s="58"/>
      <c r="E250" s="58"/>
      <c r="F250" s="57"/>
      <c r="G250" s="58"/>
      <c r="H250" s="58"/>
      <c r="I250" s="58"/>
      <c r="J250" s="58"/>
      <c r="L250" s="58"/>
      <c r="M250" s="58"/>
      <c r="N250" s="58"/>
      <c r="O250" s="58"/>
      <c r="P250" s="58"/>
      <c r="Q250" s="58"/>
      <c r="R250" s="58"/>
      <c r="S250" s="58"/>
      <c r="T250" s="58"/>
      <c r="U250" s="58"/>
      <c r="V250" s="58"/>
      <c r="W250" s="58"/>
      <c r="X250" s="58"/>
      <c r="Y250" s="58"/>
      <c r="Z250" s="58"/>
      <c r="AA250" s="58"/>
    </row>
    <row r="251" spans="1:27" ht="24.75" customHeight="1">
      <c r="A251" s="57"/>
      <c r="B251" s="58"/>
      <c r="C251" s="58"/>
      <c r="D251" s="58"/>
      <c r="E251" s="58"/>
      <c r="F251" s="57"/>
      <c r="G251" s="58"/>
      <c r="H251" s="58"/>
      <c r="I251" s="58"/>
      <c r="J251" s="58"/>
      <c r="L251" s="58"/>
      <c r="M251" s="58"/>
      <c r="N251" s="58"/>
      <c r="O251" s="58"/>
      <c r="P251" s="58"/>
      <c r="Q251" s="58"/>
      <c r="R251" s="58"/>
      <c r="S251" s="58"/>
      <c r="T251" s="58"/>
      <c r="U251" s="58"/>
      <c r="V251" s="58"/>
      <c r="W251" s="58"/>
      <c r="X251" s="58"/>
      <c r="Y251" s="58"/>
      <c r="Z251" s="58"/>
      <c r="AA251" s="58"/>
    </row>
    <row r="252" spans="1:27" ht="24.75" customHeight="1">
      <c r="A252" s="57"/>
      <c r="B252" s="58"/>
      <c r="C252" s="58"/>
      <c r="D252" s="58"/>
      <c r="E252" s="58"/>
      <c r="F252" s="57"/>
      <c r="G252" s="58"/>
      <c r="H252" s="58"/>
      <c r="I252" s="58"/>
      <c r="J252" s="58"/>
      <c r="L252" s="58"/>
      <c r="M252" s="58"/>
      <c r="N252" s="58"/>
      <c r="O252" s="58"/>
      <c r="P252" s="58"/>
      <c r="Q252" s="58"/>
      <c r="R252" s="58"/>
      <c r="S252" s="58"/>
      <c r="T252" s="58"/>
      <c r="U252" s="58"/>
      <c r="V252" s="58"/>
      <c r="W252" s="58"/>
      <c r="X252" s="58"/>
      <c r="Y252" s="58"/>
      <c r="Z252" s="58"/>
      <c r="AA252" s="58"/>
    </row>
    <row r="253" spans="1:27" ht="24.75" customHeight="1">
      <c r="A253" s="57"/>
      <c r="B253" s="58"/>
      <c r="C253" s="58"/>
      <c r="D253" s="58"/>
      <c r="E253" s="58"/>
      <c r="F253" s="57"/>
      <c r="G253" s="58"/>
      <c r="H253" s="58"/>
      <c r="I253" s="58"/>
      <c r="J253" s="58"/>
      <c r="L253" s="58"/>
      <c r="M253" s="58"/>
      <c r="N253" s="58"/>
      <c r="O253" s="58"/>
      <c r="P253" s="58"/>
      <c r="Q253" s="58"/>
      <c r="R253" s="58"/>
      <c r="S253" s="58"/>
      <c r="T253" s="58"/>
      <c r="U253" s="58"/>
      <c r="V253" s="58"/>
      <c r="W253" s="58"/>
      <c r="X253" s="58"/>
      <c r="Y253" s="58"/>
      <c r="Z253" s="58"/>
      <c r="AA253" s="58"/>
    </row>
    <row r="254" spans="1:27" ht="24.75" customHeight="1">
      <c r="A254" s="57"/>
      <c r="B254" s="58"/>
      <c r="C254" s="58"/>
      <c r="D254" s="58"/>
      <c r="E254" s="58"/>
      <c r="F254" s="57"/>
      <c r="G254" s="58"/>
      <c r="H254" s="58"/>
      <c r="I254" s="58"/>
      <c r="J254" s="58"/>
      <c r="L254" s="58"/>
      <c r="M254" s="58"/>
      <c r="N254" s="58"/>
      <c r="O254" s="58"/>
      <c r="P254" s="58"/>
      <c r="Q254" s="58"/>
      <c r="R254" s="58"/>
      <c r="S254" s="58"/>
      <c r="T254" s="58"/>
      <c r="U254" s="58"/>
      <c r="V254" s="58"/>
      <c r="W254" s="58"/>
      <c r="X254" s="58"/>
      <c r="Y254" s="58"/>
      <c r="Z254" s="58"/>
      <c r="AA254" s="58"/>
    </row>
    <row r="255" spans="1:27" ht="24.75" customHeight="1">
      <c r="A255" s="57"/>
      <c r="B255" s="58"/>
      <c r="C255" s="58"/>
      <c r="D255" s="58"/>
      <c r="E255" s="58"/>
      <c r="F255" s="57"/>
      <c r="G255" s="58"/>
      <c r="H255" s="58"/>
      <c r="I255" s="58"/>
      <c r="J255" s="58"/>
      <c r="L255" s="58"/>
      <c r="M255" s="58"/>
      <c r="N255" s="58"/>
      <c r="O255" s="58"/>
      <c r="P255" s="58"/>
      <c r="Q255" s="58"/>
      <c r="R255" s="58"/>
      <c r="S255" s="58"/>
      <c r="T255" s="58"/>
      <c r="U255" s="58"/>
      <c r="V255" s="58"/>
      <c r="W255" s="58"/>
      <c r="X255" s="58"/>
      <c r="Y255" s="58"/>
      <c r="Z255" s="58"/>
      <c r="AA255" s="58"/>
    </row>
    <row r="256" spans="1:27" ht="24.75" customHeight="1">
      <c r="A256" s="57"/>
      <c r="B256" s="58"/>
      <c r="C256" s="58"/>
      <c r="D256" s="58"/>
      <c r="E256" s="58"/>
      <c r="F256" s="57"/>
      <c r="G256" s="58"/>
      <c r="H256" s="58"/>
      <c r="I256" s="58"/>
      <c r="J256" s="58"/>
      <c r="L256" s="58"/>
      <c r="M256" s="58"/>
      <c r="N256" s="58"/>
      <c r="O256" s="58"/>
      <c r="P256" s="58"/>
      <c r="Q256" s="58"/>
      <c r="R256" s="58"/>
      <c r="S256" s="58"/>
      <c r="T256" s="58"/>
      <c r="U256" s="58"/>
      <c r="V256" s="58"/>
      <c r="W256" s="58"/>
      <c r="X256" s="58"/>
      <c r="Y256" s="58"/>
      <c r="Z256" s="58"/>
      <c r="AA256" s="58"/>
    </row>
    <row r="257" spans="1:27" ht="24.75" customHeight="1">
      <c r="A257" s="57"/>
      <c r="B257" s="58"/>
      <c r="C257" s="58"/>
      <c r="D257" s="58"/>
      <c r="E257" s="58"/>
      <c r="F257" s="57"/>
      <c r="G257" s="58"/>
      <c r="H257" s="58"/>
      <c r="I257" s="58"/>
      <c r="J257" s="58"/>
      <c r="L257" s="58"/>
      <c r="M257" s="58"/>
      <c r="N257" s="58"/>
      <c r="O257" s="58"/>
      <c r="P257" s="58"/>
      <c r="Q257" s="58"/>
      <c r="R257" s="58"/>
      <c r="S257" s="58"/>
      <c r="T257" s="58"/>
      <c r="U257" s="58"/>
      <c r="V257" s="58"/>
      <c r="W257" s="58"/>
      <c r="X257" s="58"/>
      <c r="Y257" s="58"/>
      <c r="Z257" s="58"/>
      <c r="AA257" s="58"/>
    </row>
    <row r="258" spans="1:27" ht="24.75" customHeight="1">
      <c r="A258" s="57"/>
      <c r="B258" s="58"/>
      <c r="C258" s="58"/>
      <c r="D258" s="58"/>
      <c r="E258" s="58"/>
      <c r="F258" s="57"/>
      <c r="G258" s="58"/>
      <c r="H258" s="58"/>
      <c r="I258" s="58"/>
      <c r="J258" s="58"/>
      <c r="L258" s="58"/>
      <c r="M258" s="58"/>
      <c r="N258" s="58"/>
      <c r="O258" s="58"/>
      <c r="P258" s="58"/>
      <c r="Q258" s="58"/>
      <c r="R258" s="58"/>
      <c r="S258" s="58"/>
      <c r="T258" s="58"/>
      <c r="U258" s="58"/>
      <c r="V258" s="58"/>
      <c r="W258" s="58"/>
      <c r="X258" s="58"/>
      <c r="Y258" s="58"/>
      <c r="Z258" s="58"/>
      <c r="AA258" s="58"/>
    </row>
    <row r="259" spans="1:27" ht="24.75" customHeight="1">
      <c r="A259" s="57"/>
      <c r="B259" s="58"/>
      <c r="C259" s="58"/>
      <c r="D259" s="58"/>
      <c r="E259" s="58"/>
      <c r="F259" s="57"/>
      <c r="G259" s="58"/>
      <c r="H259" s="58"/>
      <c r="I259" s="58"/>
      <c r="J259" s="58"/>
      <c r="L259" s="58"/>
      <c r="M259" s="58"/>
      <c r="N259" s="58"/>
      <c r="O259" s="58"/>
      <c r="P259" s="58"/>
      <c r="Q259" s="58"/>
      <c r="R259" s="58"/>
      <c r="S259" s="58"/>
      <c r="T259" s="58"/>
      <c r="U259" s="58"/>
      <c r="V259" s="58"/>
      <c r="W259" s="58"/>
      <c r="X259" s="58"/>
      <c r="Y259" s="58"/>
      <c r="Z259" s="58"/>
      <c r="AA259" s="58"/>
    </row>
    <row r="260" spans="1:27" ht="24.75" customHeight="1">
      <c r="A260" s="57"/>
      <c r="B260" s="58"/>
      <c r="C260" s="58"/>
      <c r="D260" s="58"/>
      <c r="E260" s="58"/>
      <c r="F260" s="57"/>
      <c r="G260" s="58"/>
      <c r="H260" s="58"/>
      <c r="I260" s="58"/>
      <c r="J260" s="58"/>
      <c r="L260" s="58"/>
      <c r="M260" s="58"/>
      <c r="N260" s="58"/>
      <c r="O260" s="58"/>
      <c r="P260" s="58"/>
      <c r="Q260" s="58"/>
      <c r="R260" s="58"/>
      <c r="S260" s="58"/>
      <c r="T260" s="58"/>
      <c r="U260" s="58"/>
      <c r="V260" s="58"/>
      <c r="W260" s="58"/>
      <c r="X260" s="58"/>
      <c r="Y260" s="58"/>
      <c r="Z260" s="58"/>
      <c r="AA260" s="58"/>
    </row>
    <row r="261" spans="1:27" ht="24.75" customHeight="1">
      <c r="A261" s="57"/>
      <c r="B261" s="58"/>
      <c r="C261" s="58"/>
      <c r="D261" s="58"/>
      <c r="E261" s="58"/>
      <c r="F261" s="57"/>
      <c r="G261" s="58"/>
      <c r="H261" s="58"/>
      <c r="I261" s="58"/>
      <c r="J261" s="58"/>
      <c r="L261" s="58"/>
      <c r="M261" s="58"/>
      <c r="N261" s="58"/>
      <c r="O261" s="58"/>
      <c r="P261" s="58"/>
      <c r="Q261" s="58"/>
      <c r="R261" s="58"/>
      <c r="S261" s="58"/>
      <c r="T261" s="58"/>
      <c r="U261" s="58"/>
      <c r="V261" s="58"/>
      <c r="W261" s="58"/>
      <c r="X261" s="58"/>
      <c r="Y261" s="58"/>
      <c r="Z261" s="58"/>
      <c r="AA261" s="58"/>
    </row>
    <row r="262" spans="1:27" ht="24.75" customHeight="1">
      <c r="A262" s="57"/>
      <c r="B262" s="58"/>
      <c r="C262" s="58"/>
      <c r="D262" s="58"/>
      <c r="E262" s="58"/>
      <c r="F262" s="57"/>
      <c r="G262" s="58"/>
      <c r="H262" s="58"/>
      <c r="I262" s="58"/>
      <c r="J262" s="58"/>
      <c r="L262" s="58"/>
      <c r="M262" s="58"/>
      <c r="N262" s="58"/>
      <c r="O262" s="58"/>
      <c r="P262" s="58"/>
      <c r="Q262" s="58"/>
      <c r="R262" s="58"/>
      <c r="S262" s="58"/>
      <c r="T262" s="58"/>
      <c r="U262" s="58"/>
      <c r="V262" s="58"/>
      <c r="W262" s="58"/>
      <c r="X262" s="58"/>
      <c r="Y262" s="58"/>
      <c r="Z262" s="58"/>
      <c r="AA262" s="58"/>
    </row>
    <row r="263" spans="1:27" ht="24.75" customHeight="1">
      <c r="A263" s="57"/>
      <c r="B263" s="58"/>
      <c r="C263" s="58"/>
      <c r="D263" s="58"/>
      <c r="E263" s="58"/>
      <c r="F263" s="57"/>
      <c r="G263" s="58"/>
      <c r="H263" s="58"/>
      <c r="I263" s="58"/>
      <c r="J263" s="58"/>
      <c r="L263" s="58"/>
      <c r="M263" s="58"/>
      <c r="N263" s="58"/>
      <c r="O263" s="58"/>
      <c r="P263" s="58"/>
      <c r="Q263" s="58"/>
      <c r="R263" s="58"/>
      <c r="S263" s="58"/>
      <c r="T263" s="58"/>
      <c r="U263" s="58"/>
      <c r="V263" s="58"/>
      <c r="W263" s="58"/>
      <c r="X263" s="58"/>
      <c r="Y263" s="58"/>
      <c r="Z263" s="58"/>
      <c r="AA263" s="58"/>
    </row>
    <row r="264" spans="1:27" ht="24.75" customHeight="1"/>
    <row r="265" spans="1:27" ht="24.75" customHeight="1"/>
    <row r="266" spans="1:27" ht="24.75" customHeight="1"/>
    <row r="267" spans="1:27" ht="24.75" customHeight="1"/>
    <row r="268" spans="1:27" ht="24.75" customHeight="1"/>
    <row r="269" spans="1:27" ht="24.75" customHeight="1"/>
    <row r="270" spans="1:27" ht="24.75" customHeight="1"/>
    <row r="271" spans="1:27" ht="24.75" customHeight="1"/>
    <row r="272" spans="1:27"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sheetData>
  <customSheetViews>
    <customSheetView guid="{2C5AAE21-AED2-4BA3-9649-30A02D817230}" filter="1" showAutoFilter="1">
      <pageMargins left="0.7" right="0.7" top="0.75" bottom="0.75" header="0.3" footer="0.3"/>
      <autoFilter ref="A1:H21"/>
      <extLst>
        <ext uri="GoogleSheetsCustomDataVersion1">
          <go:sheetsCustomData xmlns:go="http://customooxmlschemas.google.com/" filterViewId="42698910"/>
        </ext>
      </extLst>
    </customSheetView>
  </customSheetViews>
  <hyperlinks>
    <hyperlink ref="D3" r:id="rId1"/>
    <hyperlink ref="D4" r:id="rId2"/>
    <hyperlink ref="D5" r:id="rId3"/>
    <hyperlink ref="D6" r:id="rId4"/>
    <hyperlink ref="D7" r:id="rId5"/>
    <hyperlink ref="D8" r:id="rId6"/>
    <hyperlink ref="D14" r:id="rId7"/>
    <hyperlink ref="D19" r:id="rId8"/>
    <hyperlink ref="D20" r:id="rId9"/>
    <hyperlink ref="D21" r:id="rId10"/>
    <hyperlink ref="D24" r:id="rId11"/>
    <hyperlink ref="D25" r:id="rId12"/>
    <hyperlink ref="D26" r:id="rId13"/>
    <hyperlink ref="D27" r:id="rId14"/>
    <hyperlink ref="D28" r:id="rId15"/>
    <hyperlink ref="D29" r:id="rId16"/>
    <hyperlink ref="D35" r:id="rId17"/>
    <hyperlink ref="D38" r:id="rId18"/>
    <hyperlink ref="D39" r:id="rId19"/>
    <hyperlink ref="D40" r:id="rId20"/>
    <hyperlink ref="D41" r:id="rId21"/>
    <hyperlink ref="D42" r:id="rId22"/>
    <hyperlink ref="D43" r:id="rId23"/>
    <hyperlink ref="D45" r:id="rId24"/>
    <hyperlink ref="D46" r:id="rId25"/>
    <hyperlink ref="D47" r:id="rId26"/>
    <hyperlink ref="D50" r:id="rId27"/>
    <hyperlink ref="D54" r:id="rId28"/>
    <hyperlink ref="D55" r:id="rId29"/>
    <hyperlink ref="D56" r:id="rId30"/>
    <hyperlink ref="D57" r:id="rId31"/>
    <hyperlink ref="D58" r:id="rId32"/>
    <hyperlink ref="D59" r:id="rId33"/>
    <hyperlink ref="D60" r:id="rId34"/>
    <hyperlink ref="D61" r:id="rId35"/>
    <hyperlink ref="D63" r:id="rId36"/>
    <hyperlink ref="D64" r:id="rId37"/>
    <hyperlink ref="D65" r:id="rId38"/>
    <hyperlink ref="D67" r:id="rId39"/>
    <hyperlink ref="D68" r:id="rId40"/>
  </hyperlinks>
  <pageMargins left="0.15032211882605584" right="0.45096635647816757" top="1" bottom="1" header="0" footer="0"/>
  <pageSetup paperSize="9" fitToWidth="0" orientation="portrait"/>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E1000"/>
  <sheetViews>
    <sheetView tabSelected="1" workbookViewId="0">
      <selection activeCell="F1" sqref="F1:L1048576"/>
    </sheetView>
  </sheetViews>
  <sheetFormatPr defaultColWidth="14.44140625" defaultRowHeight="15" customHeight="1"/>
  <cols>
    <col min="1" max="1" width="6.44140625" customWidth="1"/>
    <col min="2" max="2" width="38" customWidth="1"/>
    <col min="3" max="3" width="21" customWidth="1"/>
    <col min="4" max="4" width="16.5546875" customWidth="1"/>
    <col min="5" max="5" width="14.44140625" customWidth="1"/>
    <col min="6" max="6" width="16.6640625" customWidth="1"/>
    <col min="7" max="7" width="14.109375" customWidth="1"/>
    <col min="8" max="8" width="22.88671875" customWidth="1"/>
    <col min="11" max="11" width="22.88671875" customWidth="1"/>
  </cols>
  <sheetData>
    <row r="1" spans="1:31" ht="14.4">
      <c r="A1" s="59" t="s">
        <v>145</v>
      </c>
      <c r="B1" s="59" t="s">
        <v>146</v>
      </c>
      <c r="C1" s="59" t="s">
        <v>147</v>
      </c>
      <c r="D1" s="60" t="s">
        <v>149</v>
      </c>
      <c r="E1" s="61" t="s">
        <v>150</v>
      </c>
      <c r="F1" s="61" t="s">
        <v>151</v>
      </c>
      <c r="G1" s="62" t="s">
        <v>152</v>
      </c>
      <c r="H1" s="62" t="s">
        <v>153</v>
      </c>
      <c r="I1" s="61" t="s">
        <v>154</v>
      </c>
      <c r="J1" s="59" t="s">
        <v>155</v>
      </c>
      <c r="K1" s="59" t="s">
        <v>156</v>
      </c>
      <c r="L1" s="59" t="s">
        <v>157</v>
      </c>
      <c r="M1" s="63"/>
      <c r="N1" s="63"/>
      <c r="O1" s="63"/>
      <c r="P1" s="63"/>
      <c r="Q1" s="63"/>
      <c r="R1" s="63"/>
      <c r="S1" s="63"/>
      <c r="T1" s="63"/>
      <c r="U1" s="63"/>
      <c r="V1" s="63"/>
      <c r="W1" s="63"/>
      <c r="X1" s="63"/>
      <c r="Y1" s="63"/>
      <c r="Z1" s="63"/>
      <c r="AA1" s="63"/>
      <c r="AB1" s="63"/>
      <c r="AC1" s="63"/>
      <c r="AD1" s="63"/>
      <c r="AE1" s="63"/>
    </row>
    <row r="2" spans="1:31" ht="15" customHeight="1">
      <c r="A2" s="63">
        <v>1</v>
      </c>
      <c r="B2" s="64" t="s">
        <v>158</v>
      </c>
      <c r="C2" s="65">
        <v>7000</v>
      </c>
      <c r="D2" s="65">
        <v>200</v>
      </c>
      <c r="E2" s="67">
        <v>651</v>
      </c>
      <c r="F2" s="65">
        <v>1662.5</v>
      </c>
      <c r="G2" s="68">
        <f t="shared" ref="G2:G37" si="0">F2+E2+D2</f>
        <v>2513.5</v>
      </c>
      <c r="H2" s="68">
        <f t="shared" ref="H2:H37" si="1">I2-G2</f>
        <v>5486.5</v>
      </c>
      <c r="I2" s="65">
        <v>8000</v>
      </c>
      <c r="J2" s="67" t="s">
        <v>159</v>
      </c>
      <c r="K2" s="67">
        <f t="shared" ref="K2:K37" si="2">(75/100)*I2</f>
        <v>6000</v>
      </c>
      <c r="L2" s="63">
        <f t="shared" ref="L2:L37" si="3">I2-K2</f>
        <v>2000</v>
      </c>
      <c r="M2" s="63"/>
      <c r="N2" s="63"/>
      <c r="O2" s="63"/>
      <c r="P2" s="63"/>
      <c r="Q2" s="63"/>
      <c r="R2" s="63"/>
      <c r="S2" s="63"/>
      <c r="T2" s="63"/>
      <c r="U2" s="63"/>
      <c r="V2" s="63"/>
      <c r="W2" s="63"/>
      <c r="X2" s="63"/>
      <c r="Y2" s="63"/>
      <c r="Z2" s="63"/>
      <c r="AA2" s="63"/>
      <c r="AB2" s="63"/>
      <c r="AC2" s="63"/>
      <c r="AD2" s="63"/>
      <c r="AE2" s="63"/>
    </row>
    <row r="3" spans="1:31" ht="15" customHeight="1">
      <c r="A3" s="69">
        <v>2</v>
      </c>
      <c r="B3" s="70" t="s">
        <v>160</v>
      </c>
      <c r="C3" s="65">
        <v>7000</v>
      </c>
      <c r="D3" s="65">
        <v>200</v>
      </c>
      <c r="E3" s="69">
        <v>1651</v>
      </c>
      <c r="F3" s="65">
        <v>1662.5</v>
      </c>
      <c r="G3" s="69">
        <f t="shared" si="0"/>
        <v>3513.5</v>
      </c>
      <c r="H3" s="69">
        <f t="shared" si="1"/>
        <v>4486.5</v>
      </c>
      <c r="I3" s="67">
        <v>8000</v>
      </c>
      <c r="J3" s="69" t="s">
        <v>159</v>
      </c>
      <c r="K3" s="69">
        <f t="shared" si="2"/>
        <v>6000</v>
      </c>
      <c r="L3" s="72">
        <f t="shared" si="3"/>
        <v>2000</v>
      </c>
      <c r="M3" s="72"/>
      <c r="N3" s="72"/>
      <c r="O3" s="72"/>
      <c r="P3" s="72"/>
      <c r="Q3" s="72"/>
      <c r="R3" s="72"/>
      <c r="S3" s="72"/>
      <c r="T3" s="72"/>
      <c r="U3" s="72"/>
      <c r="V3" s="72"/>
      <c r="W3" s="72"/>
      <c r="X3" s="72"/>
      <c r="Y3" s="72"/>
      <c r="Z3" s="72"/>
      <c r="AA3" s="72"/>
      <c r="AB3" s="72"/>
      <c r="AC3" s="72"/>
      <c r="AD3" s="72"/>
      <c r="AE3" s="72"/>
    </row>
    <row r="4" spans="1:31" ht="15" customHeight="1">
      <c r="A4" s="67">
        <v>3</v>
      </c>
      <c r="B4" s="64" t="s">
        <v>161</v>
      </c>
      <c r="C4" s="65">
        <v>7000</v>
      </c>
      <c r="D4" s="65">
        <v>200</v>
      </c>
      <c r="E4" s="67">
        <v>841</v>
      </c>
      <c r="F4" s="65">
        <v>1662.5</v>
      </c>
      <c r="G4" s="68">
        <f t="shared" si="0"/>
        <v>2703.5</v>
      </c>
      <c r="H4" s="68">
        <f t="shared" si="1"/>
        <v>5296.5</v>
      </c>
      <c r="I4" s="67">
        <v>8000</v>
      </c>
      <c r="J4" s="67" t="s">
        <v>159</v>
      </c>
      <c r="K4" s="67">
        <f t="shared" si="2"/>
        <v>6000</v>
      </c>
      <c r="L4" s="63">
        <f t="shared" si="3"/>
        <v>2000</v>
      </c>
      <c r="M4" s="63"/>
      <c r="N4" s="63"/>
      <c r="O4" s="63"/>
      <c r="P4" s="63"/>
      <c r="Q4" s="63"/>
      <c r="R4" s="63"/>
      <c r="S4" s="63"/>
      <c r="T4" s="63"/>
      <c r="U4" s="63"/>
      <c r="V4" s="63"/>
      <c r="W4" s="63"/>
      <c r="X4" s="63"/>
      <c r="Y4" s="63"/>
      <c r="Z4" s="63"/>
      <c r="AA4" s="63"/>
      <c r="AB4" s="63"/>
      <c r="AC4" s="63"/>
      <c r="AD4" s="63"/>
      <c r="AE4" s="63"/>
    </row>
    <row r="5" spans="1:31" ht="15" customHeight="1">
      <c r="A5" s="63">
        <v>4</v>
      </c>
      <c r="B5" s="64" t="s">
        <v>162</v>
      </c>
      <c r="C5" s="65">
        <v>7000</v>
      </c>
      <c r="D5" s="65">
        <v>200</v>
      </c>
      <c r="E5" s="67">
        <v>656</v>
      </c>
      <c r="F5" s="65">
        <v>1662.5</v>
      </c>
      <c r="G5" s="68">
        <f t="shared" si="0"/>
        <v>2518.5</v>
      </c>
      <c r="H5" s="68">
        <f t="shared" si="1"/>
        <v>5481.5</v>
      </c>
      <c r="I5" s="67">
        <v>8000</v>
      </c>
      <c r="J5" s="67" t="s">
        <v>159</v>
      </c>
      <c r="K5" s="67">
        <f t="shared" si="2"/>
        <v>6000</v>
      </c>
      <c r="L5" s="63">
        <f t="shared" si="3"/>
        <v>2000</v>
      </c>
      <c r="M5" s="63"/>
      <c r="N5" s="63"/>
      <c r="O5" s="63"/>
      <c r="P5" s="63"/>
      <c r="Q5" s="63"/>
      <c r="R5" s="63"/>
      <c r="S5" s="63"/>
      <c r="T5" s="63"/>
      <c r="U5" s="63"/>
      <c r="V5" s="63"/>
      <c r="W5" s="63"/>
      <c r="X5" s="63"/>
      <c r="Y5" s="63"/>
      <c r="Z5" s="63"/>
      <c r="AA5" s="63"/>
      <c r="AB5" s="63"/>
      <c r="AC5" s="63"/>
      <c r="AD5" s="63"/>
      <c r="AE5" s="63"/>
    </row>
    <row r="6" spans="1:31" ht="15" customHeight="1">
      <c r="A6" s="69">
        <v>5</v>
      </c>
      <c r="B6" s="71" t="s">
        <v>163</v>
      </c>
      <c r="C6" s="65">
        <v>7000</v>
      </c>
      <c r="D6" s="65">
        <v>200</v>
      </c>
      <c r="E6" s="69">
        <v>1731</v>
      </c>
      <c r="F6" s="65">
        <v>1662.5</v>
      </c>
      <c r="G6" s="69">
        <f t="shared" si="0"/>
        <v>3593.5</v>
      </c>
      <c r="H6" s="69">
        <f t="shared" si="1"/>
        <v>4406.5</v>
      </c>
      <c r="I6" s="67">
        <v>8000</v>
      </c>
      <c r="J6" s="69" t="s">
        <v>159</v>
      </c>
      <c r="K6" s="69">
        <f t="shared" si="2"/>
        <v>6000</v>
      </c>
      <c r="L6" s="72">
        <f t="shared" si="3"/>
        <v>2000</v>
      </c>
      <c r="M6" s="72"/>
      <c r="N6" s="72"/>
      <c r="O6" s="72"/>
      <c r="P6" s="72"/>
      <c r="Q6" s="72"/>
      <c r="R6" s="72"/>
      <c r="S6" s="72"/>
      <c r="T6" s="72"/>
      <c r="U6" s="72"/>
      <c r="V6" s="72"/>
      <c r="W6" s="72"/>
      <c r="X6" s="72"/>
      <c r="Y6" s="72"/>
      <c r="Z6" s="72"/>
      <c r="AA6" s="72"/>
      <c r="AB6" s="72"/>
      <c r="AC6" s="72"/>
      <c r="AD6" s="72"/>
      <c r="AE6" s="72"/>
    </row>
    <row r="7" spans="1:31" ht="15" customHeight="1">
      <c r="A7" s="69">
        <v>6</v>
      </c>
      <c r="B7" s="71" t="s">
        <v>164</v>
      </c>
      <c r="C7" s="65">
        <v>7000</v>
      </c>
      <c r="D7" s="65">
        <v>200</v>
      </c>
      <c r="E7" s="69">
        <v>1634</v>
      </c>
      <c r="F7" s="65">
        <v>1662.5</v>
      </c>
      <c r="G7" s="69">
        <f t="shared" si="0"/>
        <v>3496.5</v>
      </c>
      <c r="H7" s="69">
        <f t="shared" si="1"/>
        <v>4503.5</v>
      </c>
      <c r="I7" s="67">
        <v>8000</v>
      </c>
      <c r="J7" s="69" t="s">
        <v>159</v>
      </c>
      <c r="K7" s="69">
        <f t="shared" si="2"/>
        <v>6000</v>
      </c>
      <c r="L7" s="72">
        <f t="shared" si="3"/>
        <v>2000</v>
      </c>
      <c r="M7" s="72"/>
      <c r="N7" s="72"/>
      <c r="O7" s="72"/>
      <c r="P7" s="72"/>
      <c r="Q7" s="72"/>
      <c r="R7" s="72"/>
      <c r="S7" s="72"/>
      <c r="T7" s="72"/>
      <c r="U7" s="72"/>
      <c r="V7" s="72"/>
      <c r="W7" s="72"/>
      <c r="X7" s="72"/>
      <c r="Y7" s="72"/>
      <c r="Z7" s="72"/>
      <c r="AA7" s="72"/>
      <c r="AB7" s="72"/>
      <c r="AC7" s="72"/>
      <c r="AD7" s="72"/>
      <c r="AE7" s="72"/>
    </row>
    <row r="8" spans="1:31" ht="15" customHeight="1">
      <c r="A8" s="72">
        <v>7</v>
      </c>
      <c r="B8" s="71" t="s">
        <v>165</v>
      </c>
      <c r="C8" s="65">
        <v>7000</v>
      </c>
      <c r="D8" s="65">
        <v>200</v>
      </c>
      <c r="E8" s="69">
        <v>1641</v>
      </c>
      <c r="F8" s="65">
        <v>1662.5</v>
      </c>
      <c r="G8" s="69">
        <f t="shared" si="0"/>
        <v>3503.5</v>
      </c>
      <c r="H8" s="69">
        <f t="shared" si="1"/>
        <v>4496.5</v>
      </c>
      <c r="I8" s="67">
        <v>8000</v>
      </c>
      <c r="J8" s="69" t="s">
        <v>159</v>
      </c>
      <c r="K8" s="69">
        <f t="shared" si="2"/>
        <v>6000</v>
      </c>
      <c r="L8" s="72">
        <f t="shared" si="3"/>
        <v>2000</v>
      </c>
      <c r="M8" s="72"/>
      <c r="N8" s="72"/>
      <c r="O8" s="72"/>
      <c r="P8" s="72"/>
      <c r="Q8" s="72"/>
      <c r="R8" s="72"/>
      <c r="S8" s="72"/>
      <c r="T8" s="72"/>
      <c r="U8" s="72"/>
      <c r="V8" s="72"/>
      <c r="W8" s="72"/>
      <c r="X8" s="72"/>
      <c r="Y8" s="72"/>
      <c r="Z8" s="72"/>
      <c r="AA8" s="72"/>
      <c r="AB8" s="72"/>
      <c r="AC8" s="72"/>
      <c r="AD8" s="72"/>
      <c r="AE8" s="72"/>
    </row>
    <row r="9" spans="1:31" ht="15" customHeight="1">
      <c r="A9" s="67">
        <v>8</v>
      </c>
      <c r="B9" s="64" t="s">
        <v>166</v>
      </c>
      <c r="C9" s="65">
        <v>7000</v>
      </c>
      <c r="D9" s="65">
        <v>200</v>
      </c>
      <c r="E9" s="67">
        <v>172</v>
      </c>
      <c r="F9" s="65">
        <v>1662.5</v>
      </c>
      <c r="G9" s="68">
        <f t="shared" si="0"/>
        <v>2034.5</v>
      </c>
      <c r="H9" s="68">
        <f t="shared" si="1"/>
        <v>5965.5</v>
      </c>
      <c r="I9" s="67">
        <v>8000</v>
      </c>
      <c r="J9" s="67" t="s">
        <v>159</v>
      </c>
      <c r="K9" s="67">
        <f t="shared" si="2"/>
        <v>6000</v>
      </c>
      <c r="L9" s="63">
        <f t="shared" si="3"/>
        <v>2000</v>
      </c>
      <c r="M9" s="63"/>
      <c r="N9" s="63"/>
      <c r="O9" s="63"/>
      <c r="P9" s="63"/>
      <c r="Q9" s="63"/>
      <c r="R9" s="63"/>
      <c r="S9" s="63"/>
      <c r="T9" s="63"/>
      <c r="U9" s="63"/>
      <c r="V9" s="63"/>
      <c r="W9" s="63"/>
      <c r="X9" s="63"/>
      <c r="Y9" s="63"/>
      <c r="Z9" s="63"/>
      <c r="AA9" s="63"/>
      <c r="AB9" s="63"/>
      <c r="AC9" s="63"/>
      <c r="AD9" s="63"/>
      <c r="AE9" s="63"/>
    </row>
    <row r="10" spans="1:31" ht="15" customHeight="1">
      <c r="A10" s="67">
        <v>9</v>
      </c>
      <c r="B10" s="73" t="s">
        <v>167</v>
      </c>
      <c r="C10" s="65">
        <v>7000</v>
      </c>
      <c r="D10" s="65">
        <v>200</v>
      </c>
      <c r="E10" s="67">
        <v>1301</v>
      </c>
      <c r="F10" s="65">
        <v>1662.5</v>
      </c>
      <c r="G10" s="68">
        <f t="shared" si="0"/>
        <v>3163.5</v>
      </c>
      <c r="H10" s="68">
        <f t="shared" si="1"/>
        <v>4836.5</v>
      </c>
      <c r="I10" s="67">
        <v>8000</v>
      </c>
      <c r="J10" s="67" t="s">
        <v>159</v>
      </c>
      <c r="K10" s="67">
        <f t="shared" si="2"/>
        <v>6000</v>
      </c>
      <c r="L10" s="63">
        <f t="shared" si="3"/>
        <v>2000</v>
      </c>
      <c r="M10" s="63"/>
      <c r="N10" s="63"/>
      <c r="O10" s="63"/>
      <c r="P10" s="63"/>
      <c r="Q10" s="63"/>
      <c r="R10" s="63"/>
      <c r="S10" s="63"/>
      <c r="T10" s="63"/>
      <c r="U10" s="63"/>
      <c r="V10" s="63"/>
      <c r="W10" s="63"/>
      <c r="X10" s="63"/>
      <c r="Y10" s="63"/>
      <c r="Z10" s="63"/>
      <c r="AA10" s="63"/>
      <c r="AB10" s="63"/>
      <c r="AC10" s="63"/>
      <c r="AD10" s="63"/>
      <c r="AE10" s="63"/>
    </row>
    <row r="11" spans="1:31" ht="15" customHeight="1">
      <c r="A11" s="67">
        <v>10</v>
      </c>
      <c r="B11" s="64" t="s">
        <v>168</v>
      </c>
      <c r="C11" s="65">
        <v>7000</v>
      </c>
      <c r="D11" s="65">
        <v>200</v>
      </c>
      <c r="E11" s="67">
        <v>491</v>
      </c>
      <c r="F11" s="65">
        <v>1662.5</v>
      </c>
      <c r="G11" s="68">
        <f t="shared" si="0"/>
        <v>2353.5</v>
      </c>
      <c r="H11" s="68">
        <f t="shared" si="1"/>
        <v>5646.5</v>
      </c>
      <c r="I11" s="67">
        <v>8000</v>
      </c>
      <c r="J11" s="67" t="s">
        <v>159</v>
      </c>
      <c r="K11" s="67">
        <f t="shared" si="2"/>
        <v>6000</v>
      </c>
      <c r="L11" s="63">
        <f t="shared" si="3"/>
        <v>2000</v>
      </c>
      <c r="M11" s="63"/>
      <c r="N11" s="63"/>
      <c r="O11" s="63"/>
      <c r="P11" s="63"/>
      <c r="Q11" s="63"/>
      <c r="R11" s="63"/>
      <c r="S11" s="63"/>
      <c r="T11" s="63"/>
      <c r="U11" s="63"/>
      <c r="V11" s="63"/>
      <c r="W11" s="63"/>
      <c r="X11" s="63"/>
      <c r="Y11" s="63"/>
      <c r="Z11" s="63"/>
      <c r="AA11" s="63"/>
      <c r="AB11" s="63"/>
      <c r="AC11" s="63"/>
      <c r="AD11" s="63"/>
      <c r="AE11" s="63"/>
    </row>
    <row r="12" spans="1:31" ht="15" customHeight="1">
      <c r="A12" s="67">
        <v>11</v>
      </c>
      <c r="B12" s="64" t="s">
        <v>169</v>
      </c>
      <c r="C12" s="65">
        <v>7000</v>
      </c>
      <c r="D12" s="65">
        <v>200</v>
      </c>
      <c r="E12" s="67">
        <v>1331</v>
      </c>
      <c r="F12" s="65">
        <v>1662.5</v>
      </c>
      <c r="G12" s="68">
        <f t="shared" si="0"/>
        <v>3193.5</v>
      </c>
      <c r="H12" s="68">
        <f t="shared" si="1"/>
        <v>4806.5</v>
      </c>
      <c r="I12" s="67">
        <v>8000</v>
      </c>
      <c r="J12" s="67" t="s">
        <v>159</v>
      </c>
      <c r="K12" s="67">
        <f t="shared" si="2"/>
        <v>6000</v>
      </c>
      <c r="L12" s="63">
        <f t="shared" si="3"/>
        <v>2000</v>
      </c>
      <c r="M12" s="63"/>
      <c r="N12" s="63"/>
      <c r="O12" s="63"/>
      <c r="P12" s="63"/>
      <c r="Q12" s="63"/>
      <c r="R12" s="63"/>
      <c r="S12" s="63"/>
      <c r="T12" s="63"/>
      <c r="U12" s="63"/>
      <c r="V12" s="63"/>
      <c r="W12" s="63"/>
      <c r="X12" s="63"/>
      <c r="Y12" s="63"/>
      <c r="Z12" s="63"/>
      <c r="AA12" s="63"/>
      <c r="AB12" s="63"/>
      <c r="AC12" s="63"/>
      <c r="AD12" s="63"/>
      <c r="AE12" s="63"/>
    </row>
    <row r="13" spans="1:31" ht="15" customHeight="1">
      <c r="A13" s="63">
        <v>12</v>
      </c>
      <c r="B13" s="64" t="s">
        <v>170</v>
      </c>
      <c r="C13" s="65">
        <v>7000</v>
      </c>
      <c r="D13" s="65">
        <v>200</v>
      </c>
      <c r="E13" s="67">
        <v>951</v>
      </c>
      <c r="F13" s="65">
        <v>1662.5</v>
      </c>
      <c r="G13" s="68">
        <f t="shared" si="0"/>
        <v>2813.5</v>
      </c>
      <c r="H13" s="68">
        <f t="shared" si="1"/>
        <v>5186.5</v>
      </c>
      <c r="I13" s="67">
        <v>8000</v>
      </c>
      <c r="J13" s="67" t="s">
        <v>159</v>
      </c>
      <c r="K13" s="67">
        <f t="shared" si="2"/>
        <v>6000</v>
      </c>
      <c r="L13" s="63">
        <f t="shared" si="3"/>
        <v>2000</v>
      </c>
      <c r="M13" s="63"/>
      <c r="N13" s="63"/>
      <c r="O13" s="63"/>
      <c r="P13" s="63"/>
      <c r="Q13" s="63"/>
      <c r="R13" s="63"/>
      <c r="S13" s="63"/>
      <c r="T13" s="63"/>
      <c r="U13" s="63"/>
      <c r="V13" s="63"/>
      <c r="W13" s="63"/>
      <c r="X13" s="63"/>
      <c r="Y13" s="63"/>
      <c r="Z13" s="63"/>
      <c r="AA13" s="63"/>
      <c r="AB13" s="63"/>
      <c r="AC13" s="63"/>
      <c r="AD13" s="63"/>
      <c r="AE13" s="63"/>
    </row>
    <row r="14" spans="1:31" ht="15" customHeight="1">
      <c r="A14" s="67">
        <v>13</v>
      </c>
      <c r="B14" s="64" t="s">
        <v>171</v>
      </c>
      <c r="C14" s="65">
        <v>7000</v>
      </c>
      <c r="D14" s="65">
        <v>200</v>
      </c>
      <c r="E14" s="67">
        <v>266</v>
      </c>
      <c r="F14" s="65">
        <v>1662.5</v>
      </c>
      <c r="G14" s="68">
        <f t="shared" si="0"/>
        <v>2128.5</v>
      </c>
      <c r="H14" s="68">
        <f t="shared" si="1"/>
        <v>5871.5</v>
      </c>
      <c r="I14" s="67">
        <v>8000</v>
      </c>
      <c r="J14" s="67" t="s">
        <v>159</v>
      </c>
      <c r="K14" s="67">
        <f t="shared" si="2"/>
        <v>6000</v>
      </c>
      <c r="L14" s="63">
        <f t="shared" si="3"/>
        <v>2000</v>
      </c>
      <c r="M14" s="63"/>
      <c r="N14" s="63"/>
      <c r="O14" s="63"/>
      <c r="P14" s="63"/>
      <c r="Q14" s="63"/>
      <c r="R14" s="63"/>
      <c r="S14" s="63"/>
      <c r="T14" s="63"/>
      <c r="U14" s="63"/>
      <c r="V14" s="63"/>
      <c r="W14" s="63"/>
      <c r="X14" s="63"/>
      <c r="Y14" s="63"/>
      <c r="Z14" s="63"/>
      <c r="AA14" s="63"/>
      <c r="AB14" s="63"/>
      <c r="AC14" s="63"/>
      <c r="AD14" s="63"/>
      <c r="AE14" s="63"/>
    </row>
    <row r="15" spans="1:31" ht="15" customHeight="1">
      <c r="A15" s="67">
        <v>14</v>
      </c>
      <c r="B15" s="64" t="s">
        <v>172</v>
      </c>
      <c r="C15" s="65">
        <v>7000</v>
      </c>
      <c r="D15" s="65">
        <v>200</v>
      </c>
      <c r="E15" s="67">
        <v>254</v>
      </c>
      <c r="F15" s="65">
        <v>1662.5</v>
      </c>
      <c r="G15" s="68">
        <f t="shared" si="0"/>
        <v>2116.5</v>
      </c>
      <c r="H15" s="68">
        <f t="shared" si="1"/>
        <v>5883.5</v>
      </c>
      <c r="I15" s="67">
        <v>8000</v>
      </c>
      <c r="J15" s="67" t="s">
        <v>159</v>
      </c>
      <c r="K15" s="67">
        <f t="shared" si="2"/>
        <v>6000</v>
      </c>
      <c r="L15" s="63">
        <f t="shared" si="3"/>
        <v>2000</v>
      </c>
      <c r="M15" s="63"/>
      <c r="N15" s="63"/>
      <c r="O15" s="63"/>
      <c r="P15" s="63"/>
      <c r="Q15" s="63"/>
      <c r="R15" s="63"/>
      <c r="S15" s="63"/>
      <c r="T15" s="63"/>
      <c r="U15" s="63"/>
      <c r="V15" s="63"/>
      <c r="W15" s="63"/>
      <c r="X15" s="63"/>
      <c r="Y15" s="63"/>
      <c r="Z15" s="63"/>
      <c r="AA15" s="63"/>
      <c r="AB15" s="63"/>
      <c r="AC15" s="63"/>
      <c r="AD15" s="63"/>
      <c r="AE15" s="63"/>
    </row>
    <row r="16" spans="1:31" ht="15" customHeight="1">
      <c r="A16" s="67">
        <v>15</v>
      </c>
      <c r="B16" s="64" t="s">
        <v>173</v>
      </c>
      <c r="C16" s="65">
        <v>7000</v>
      </c>
      <c r="D16" s="65">
        <v>200</v>
      </c>
      <c r="E16" s="67">
        <v>441</v>
      </c>
      <c r="F16" s="65">
        <v>1662.5</v>
      </c>
      <c r="G16" s="68">
        <f t="shared" si="0"/>
        <v>2303.5</v>
      </c>
      <c r="H16" s="68">
        <f t="shared" si="1"/>
        <v>5696.5</v>
      </c>
      <c r="I16" s="67">
        <v>8000</v>
      </c>
      <c r="J16" s="67" t="s">
        <v>159</v>
      </c>
      <c r="K16" s="67">
        <f t="shared" si="2"/>
        <v>6000</v>
      </c>
      <c r="L16" s="63">
        <f t="shared" si="3"/>
        <v>2000</v>
      </c>
      <c r="M16" s="63"/>
      <c r="N16" s="63"/>
      <c r="O16" s="63"/>
      <c r="P16" s="63"/>
      <c r="Q16" s="63"/>
      <c r="R16" s="63"/>
      <c r="S16" s="63"/>
      <c r="T16" s="63"/>
      <c r="U16" s="63"/>
      <c r="V16" s="63"/>
      <c r="W16" s="63"/>
      <c r="X16" s="63"/>
      <c r="Y16" s="63"/>
      <c r="Z16" s="63"/>
      <c r="AA16" s="63"/>
      <c r="AB16" s="63"/>
      <c r="AC16" s="63"/>
      <c r="AD16" s="63"/>
      <c r="AE16" s="63"/>
    </row>
    <row r="17" spans="1:31" ht="15" customHeight="1">
      <c r="A17" s="67">
        <v>16</v>
      </c>
      <c r="B17" s="64" t="s">
        <v>174</v>
      </c>
      <c r="C17" s="65">
        <v>7000</v>
      </c>
      <c r="D17" s="65">
        <v>200</v>
      </c>
      <c r="E17" s="67">
        <v>304</v>
      </c>
      <c r="F17" s="65">
        <v>1662.5</v>
      </c>
      <c r="G17" s="68">
        <f t="shared" si="0"/>
        <v>2166.5</v>
      </c>
      <c r="H17" s="68">
        <f t="shared" si="1"/>
        <v>5833.5</v>
      </c>
      <c r="I17" s="67">
        <v>8000</v>
      </c>
      <c r="J17" s="67" t="s">
        <v>159</v>
      </c>
      <c r="K17" s="67">
        <f t="shared" si="2"/>
        <v>6000</v>
      </c>
      <c r="L17" s="63">
        <f t="shared" si="3"/>
        <v>2000</v>
      </c>
      <c r="M17" s="63"/>
      <c r="N17" s="63"/>
      <c r="O17" s="63"/>
      <c r="P17" s="63"/>
      <c r="Q17" s="63"/>
      <c r="R17" s="63"/>
      <c r="S17" s="63"/>
      <c r="T17" s="63"/>
      <c r="U17" s="63"/>
      <c r="V17" s="63"/>
      <c r="W17" s="63"/>
      <c r="X17" s="63"/>
      <c r="Y17" s="63"/>
      <c r="Z17" s="63"/>
      <c r="AA17" s="63"/>
      <c r="AB17" s="63"/>
      <c r="AC17" s="63"/>
      <c r="AD17" s="63"/>
      <c r="AE17" s="63"/>
    </row>
    <row r="18" spans="1:31" ht="15" customHeight="1">
      <c r="A18" s="74">
        <v>17</v>
      </c>
      <c r="B18" s="75" t="s">
        <v>175</v>
      </c>
      <c r="C18" s="76">
        <v>15000</v>
      </c>
      <c r="D18" s="65">
        <v>200</v>
      </c>
      <c r="E18" s="76">
        <v>10343</v>
      </c>
      <c r="F18" s="65">
        <v>1662.5</v>
      </c>
      <c r="G18" s="77">
        <f t="shared" si="0"/>
        <v>12205.5</v>
      </c>
      <c r="H18" s="77">
        <f t="shared" si="1"/>
        <v>4794.5</v>
      </c>
      <c r="I18" s="76">
        <v>17000</v>
      </c>
      <c r="J18" s="77" t="s">
        <v>159</v>
      </c>
      <c r="K18" s="77">
        <f t="shared" si="2"/>
        <v>12750</v>
      </c>
      <c r="L18" s="74">
        <f t="shared" si="3"/>
        <v>4250</v>
      </c>
      <c r="M18" s="74"/>
      <c r="N18" s="74"/>
      <c r="O18" s="74"/>
      <c r="P18" s="74"/>
      <c r="Q18" s="74"/>
      <c r="R18" s="74"/>
      <c r="S18" s="74"/>
      <c r="T18" s="74"/>
      <c r="U18" s="74"/>
      <c r="V18" s="74"/>
      <c r="W18" s="74"/>
      <c r="X18" s="74"/>
      <c r="Y18" s="74"/>
      <c r="Z18" s="74"/>
      <c r="AA18" s="74"/>
      <c r="AB18" s="74"/>
      <c r="AC18" s="74"/>
      <c r="AD18" s="74"/>
      <c r="AE18" s="74"/>
    </row>
    <row r="19" spans="1:31" ht="15" customHeight="1">
      <c r="A19" s="78">
        <v>18</v>
      </c>
      <c r="B19" s="79" t="s">
        <v>176</v>
      </c>
      <c r="C19" s="80">
        <v>7000</v>
      </c>
      <c r="D19" s="65">
        <v>200</v>
      </c>
      <c r="E19" s="78">
        <v>3156</v>
      </c>
      <c r="F19" s="65">
        <v>1662.5</v>
      </c>
      <c r="G19" s="78">
        <f t="shared" si="0"/>
        <v>5018.5</v>
      </c>
      <c r="H19" s="78">
        <f t="shared" si="1"/>
        <v>3981.5</v>
      </c>
      <c r="I19" s="80">
        <v>9000</v>
      </c>
      <c r="J19" s="78" t="s">
        <v>159</v>
      </c>
      <c r="K19" s="78">
        <f t="shared" si="2"/>
        <v>6750</v>
      </c>
      <c r="L19" s="81">
        <f t="shared" si="3"/>
        <v>2250</v>
      </c>
      <c r="M19" s="81"/>
      <c r="N19" s="81"/>
      <c r="O19" s="81"/>
      <c r="P19" s="81"/>
      <c r="Q19" s="81"/>
      <c r="R19" s="81"/>
      <c r="S19" s="81"/>
      <c r="T19" s="81"/>
      <c r="U19" s="81"/>
      <c r="V19" s="81"/>
      <c r="W19" s="81"/>
      <c r="X19" s="81"/>
      <c r="Y19" s="81"/>
      <c r="Z19" s="81"/>
      <c r="AA19" s="81"/>
      <c r="AB19" s="81"/>
      <c r="AC19" s="81"/>
      <c r="AD19" s="81"/>
      <c r="AE19" s="81"/>
    </row>
    <row r="20" spans="1:31" ht="15" customHeight="1">
      <c r="A20" s="69">
        <v>19</v>
      </c>
      <c r="B20" s="71" t="s">
        <v>177</v>
      </c>
      <c r="C20" s="82">
        <v>6000</v>
      </c>
      <c r="D20" s="65">
        <v>200</v>
      </c>
      <c r="E20" s="69">
        <v>1656</v>
      </c>
      <c r="F20" s="65">
        <v>1662.5</v>
      </c>
      <c r="G20" s="69">
        <f t="shared" si="0"/>
        <v>3518.5</v>
      </c>
      <c r="H20" s="69">
        <f t="shared" si="1"/>
        <v>4481.5</v>
      </c>
      <c r="I20" s="82">
        <v>8000</v>
      </c>
      <c r="J20" s="69" t="s">
        <v>159</v>
      </c>
      <c r="K20" s="69">
        <f t="shared" si="2"/>
        <v>6000</v>
      </c>
      <c r="L20" s="72">
        <f t="shared" si="3"/>
        <v>2000</v>
      </c>
      <c r="M20" s="72"/>
      <c r="N20" s="72"/>
      <c r="O20" s="72"/>
      <c r="P20" s="72"/>
      <c r="Q20" s="72"/>
      <c r="R20" s="72"/>
      <c r="S20" s="72"/>
      <c r="T20" s="72"/>
      <c r="U20" s="72"/>
      <c r="V20" s="72"/>
      <c r="W20" s="72"/>
      <c r="X20" s="72"/>
      <c r="Y20" s="72"/>
      <c r="Z20" s="72"/>
      <c r="AA20" s="72"/>
      <c r="AB20" s="72"/>
      <c r="AC20" s="72"/>
      <c r="AD20" s="72"/>
      <c r="AE20" s="72"/>
    </row>
    <row r="21" spans="1:31" ht="15" customHeight="1">
      <c r="A21" s="78">
        <v>20</v>
      </c>
      <c r="B21" s="79" t="s">
        <v>178</v>
      </c>
      <c r="C21" s="80">
        <v>13000</v>
      </c>
      <c r="D21" s="65">
        <v>200</v>
      </c>
      <c r="E21" s="78">
        <v>7681</v>
      </c>
      <c r="F21" s="65">
        <v>1662.5</v>
      </c>
      <c r="G21" s="78">
        <f t="shared" si="0"/>
        <v>9543.5</v>
      </c>
      <c r="H21" s="78">
        <f t="shared" si="1"/>
        <v>5456.5</v>
      </c>
      <c r="I21" s="80">
        <v>15000</v>
      </c>
      <c r="J21" s="78" t="s">
        <v>159</v>
      </c>
      <c r="K21" s="78">
        <f t="shared" si="2"/>
        <v>11250</v>
      </c>
      <c r="L21" s="81">
        <f t="shared" si="3"/>
        <v>3750</v>
      </c>
      <c r="M21" s="81"/>
      <c r="N21" s="81"/>
      <c r="O21" s="81"/>
      <c r="P21" s="81"/>
      <c r="Q21" s="81"/>
      <c r="R21" s="81"/>
      <c r="S21" s="81"/>
      <c r="T21" s="81"/>
      <c r="U21" s="81"/>
      <c r="V21" s="81"/>
      <c r="W21" s="81"/>
      <c r="X21" s="81"/>
      <c r="Y21" s="81"/>
      <c r="Z21" s="81"/>
      <c r="AA21" s="81"/>
      <c r="AB21" s="81"/>
      <c r="AC21" s="81"/>
      <c r="AD21" s="81"/>
      <c r="AE21" s="81"/>
    </row>
    <row r="22" spans="1:31" ht="15" customHeight="1">
      <c r="A22" s="67">
        <v>21</v>
      </c>
      <c r="B22" s="64" t="s">
        <v>179</v>
      </c>
      <c r="C22" s="65">
        <v>7000</v>
      </c>
      <c r="D22" s="65">
        <v>200</v>
      </c>
      <c r="E22" s="67">
        <v>1431</v>
      </c>
      <c r="F22" s="65">
        <v>1662.5</v>
      </c>
      <c r="G22" s="68">
        <f t="shared" si="0"/>
        <v>3293.5</v>
      </c>
      <c r="H22" s="68">
        <f t="shared" si="1"/>
        <v>4706.5</v>
      </c>
      <c r="I22" s="65">
        <v>8000</v>
      </c>
      <c r="J22" s="67" t="s">
        <v>159</v>
      </c>
      <c r="K22" s="67">
        <f t="shared" si="2"/>
        <v>6000</v>
      </c>
      <c r="L22" s="63">
        <f t="shared" si="3"/>
        <v>2000</v>
      </c>
      <c r="M22" s="63"/>
      <c r="N22" s="63"/>
      <c r="O22" s="63"/>
      <c r="P22" s="63"/>
      <c r="Q22" s="63"/>
      <c r="R22" s="63"/>
      <c r="S22" s="63"/>
      <c r="T22" s="63"/>
      <c r="U22" s="63"/>
      <c r="V22" s="63"/>
      <c r="W22" s="63"/>
      <c r="X22" s="63"/>
      <c r="Y22" s="63"/>
      <c r="Z22" s="63"/>
      <c r="AA22" s="63"/>
      <c r="AB22" s="63"/>
      <c r="AC22" s="63"/>
      <c r="AD22" s="63"/>
      <c r="AE22" s="63"/>
    </row>
    <row r="23" spans="1:31" ht="15" customHeight="1">
      <c r="A23" s="63">
        <v>22</v>
      </c>
      <c r="B23" s="64" t="s">
        <v>180</v>
      </c>
      <c r="C23" s="65">
        <v>7000</v>
      </c>
      <c r="D23" s="65">
        <v>200</v>
      </c>
      <c r="E23" s="67">
        <v>391</v>
      </c>
      <c r="F23" s="65">
        <v>1662.5</v>
      </c>
      <c r="G23" s="68">
        <f t="shared" si="0"/>
        <v>2253.5</v>
      </c>
      <c r="H23" s="68">
        <f t="shared" si="1"/>
        <v>5746.5</v>
      </c>
      <c r="I23" s="67">
        <v>8000</v>
      </c>
      <c r="J23" s="67" t="s">
        <v>159</v>
      </c>
      <c r="K23" s="67">
        <f t="shared" si="2"/>
        <v>6000</v>
      </c>
      <c r="L23" s="63">
        <f t="shared" si="3"/>
        <v>2000</v>
      </c>
      <c r="M23" s="63"/>
      <c r="N23" s="63"/>
      <c r="O23" s="63"/>
      <c r="P23" s="63"/>
      <c r="Q23" s="63"/>
      <c r="R23" s="63"/>
      <c r="S23" s="63"/>
      <c r="T23" s="63"/>
      <c r="U23" s="63"/>
      <c r="V23" s="63"/>
      <c r="W23" s="63"/>
      <c r="X23" s="63"/>
      <c r="Y23" s="63"/>
      <c r="Z23" s="63"/>
      <c r="AA23" s="63"/>
      <c r="AB23" s="63"/>
      <c r="AC23" s="63"/>
      <c r="AD23" s="63"/>
      <c r="AE23" s="63"/>
    </row>
    <row r="24" spans="1:31" ht="15" customHeight="1">
      <c r="A24" s="67">
        <v>23</v>
      </c>
      <c r="B24" s="64" t="s">
        <v>181</v>
      </c>
      <c r="C24" s="65">
        <v>7000</v>
      </c>
      <c r="D24" s="65">
        <v>200</v>
      </c>
      <c r="E24" s="67">
        <v>541</v>
      </c>
      <c r="F24" s="65">
        <v>1662.5</v>
      </c>
      <c r="G24" s="68">
        <f t="shared" si="0"/>
        <v>2403.5</v>
      </c>
      <c r="H24" s="68">
        <f t="shared" si="1"/>
        <v>5596.5</v>
      </c>
      <c r="I24" s="67">
        <v>8000</v>
      </c>
      <c r="J24" s="67" t="s">
        <v>159</v>
      </c>
      <c r="K24" s="67">
        <f t="shared" si="2"/>
        <v>6000</v>
      </c>
      <c r="L24" s="63">
        <f t="shared" si="3"/>
        <v>2000</v>
      </c>
      <c r="M24" s="63"/>
      <c r="N24" s="63"/>
      <c r="O24" s="63"/>
      <c r="P24" s="63"/>
      <c r="Q24" s="63"/>
      <c r="R24" s="63"/>
      <c r="S24" s="63"/>
      <c r="T24" s="63"/>
      <c r="U24" s="63"/>
      <c r="V24" s="63"/>
      <c r="W24" s="63"/>
      <c r="X24" s="63"/>
      <c r="Y24" s="63"/>
      <c r="Z24" s="63"/>
      <c r="AA24" s="63"/>
      <c r="AB24" s="63"/>
      <c r="AC24" s="63"/>
      <c r="AD24" s="63"/>
      <c r="AE24" s="63"/>
    </row>
    <row r="25" spans="1:31" ht="15" customHeight="1">
      <c r="A25" s="67">
        <v>24</v>
      </c>
      <c r="B25" s="64" t="s">
        <v>182</v>
      </c>
      <c r="C25" s="65">
        <v>7000</v>
      </c>
      <c r="D25" s="65">
        <v>200</v>
      </c>
      <c r="E25" s="67">
        <v>391</v>
      </c>
      <c r="F25" s="65">
        <v>1662.5</v>
      </c>
      <c r="G25" s="68">
        <f t="shared" si="0"/>
        <v>2253.5</v>
      </c>
      <c r="H25" s="68">
        <f t="shared" si="1"/>
        <v>5746.5</v>
      </c>
      <c r="I25" s="67">
        <v>8000</v>
      </c>
      <c r="J25" s="67" t="s">
        <v>159</v>
      </c>
      <c r="K25" s="67">
        <f t="shared" si="2"/>
        <v>6000</v>
      </c>
      <c r="L25" s="63">
        <f t="shared" si="3"/>
        <v>2000</v>
      </c>
      <c r="M25" s="63"/>
      <c r="N25" s="63"/>
      <c r="O25" s="63"/>
      <c r="P25" s="63"/>
      <c r="Q25" s="63"/>
      <c r="R25" s="63"/>
      <c r="S25" s="63"/>
      <c r="T25" s="63"/>
      <c r="U25" s="63"/>
      <c r="V25" s="63"/>
      <c r="W25" s="63"/>
      <c r="X25" s="63"/>
      <c r="Y25" s="63"/>
      <c r="Z25" s="63"/>
      <c r="AA25" s="63"/>
      <c r="AB25" s="63"/>
      <c r="AC25" s="63"/>
      <c r="AD25" s="63"/>
      <c r="AE25" s="63"/>
    </row>
    <row r="26" spans="1:31" ht="15" customHeight="1">
      <c r="A26" s="67">
        <v>25</v>
      </c>
      <c r="B26" s="64" t="s">
        <v>183</v>
      </c>
      <c r="C26" s="65">
        <v>7000</v>
      </c>
      <c r="D26" s="65">
        <v>200</v>
      </c>
      <c r="E26" s="67">
        <v>391</v>
      </c>
      <c r="F26" s="65">
        <v>1662.5</v>
      </c>
      <c r="G26" s="68">
        <f t="shared" si="0"/>
        <v>2253.5</v>
      </c>
      <c r="H26" s="68">
        <f t="shared" si="1"/>
        <v>5746.5</v>
      </c>
      <c r="I26" s="67">
        <v>8000</v>
      </c>
      <c r="J26" s="67" t="s">
        <v>159</v>
      </c>
      <c r="K26" s="67">
        <f t="shared" si="2"/>
        <v>6000</v>
      </c>
      <c r="L26" s="63">
        <f t="shared" si="3"/>
        <v>2000</v>
      </c>
      <c r="M26" s="63"/>
      <c r="N26" s="63"/>
      <c r="O26" s="63"/>
      <c r="P26" s="63"/>
      <c r="Q26" s="63"/>
      <c r="R26" s="63"/>
      <c r="S26" s="63"/>
      <c r="T26" s="63"/>
      <c r="U26" s="63"/>
      <c r="V26" s="63"/>
      <c r="W26" s="63"/>
      <c r="X26" s="63"/>
      <c r="Y26" s="63"/>
      <c r="Z26" s="63"/>
      <c r="AA26" s="63"/>
      <c r="AB26" s="63"/>
      <c r="AC26" s="63"/>
      <c r="AD26" s="63"/>
      <c r="AE26" s="63"/>
    </row>
    <row r="27" spans="1:31" ht="15" customHeight="1">
      <c r="A27" s="67">
        <v>26</v>
      </c>
      <c r="B27" s="64" t="s">
        <v>184</v>
      </c>
      <c r="C27" s="65">
        <v>7000</v>
      </c>
      <c r="D27" s="65">
        <v>200</v>
      </c>
      <c r="E27" s="67">
        <v>741</v>
      </c>
      <c r="F27" s="65">
        <v>1662.5</v>
      </c>
      <c r="G27" s="68">
        <f t="shared" si="0"/>
        <v>2603.5</v>
      </c>
      <c r="H27" s="68">
        <f t="shared" si="1"/>
        <v>5396.5</v>
      </c>
      <c r="I27" s="67">
        <v>8000</v>
      </c>
      <c r="J27" s="67" t="s">
        <v>159</v>
      </c>
      <c r="K27" s="67">
        <f t="shared" si="2"/>
        <v>6000</v>
      </c>
      <c r="L27" s="63">
        <f t="shared" si="3"/>
        <v>2000</v>
      </c>
      <c r="M27" s="63"/>
      <c r="N27" s="63"/>
      <c r="O27" s="63"/>
      <c r="P27" s="63"/>
      <c r="Q27" s="63"/>
      <c r="R27" s="63"/>
      <c r="S27" s="63"/>
      <c r="T27" s="63"/>
      <c r="U27" s="63"/>
      <c r="V27" s="63"/>
      <c r="W27" s="63"/>
      <c r="X27" s="63"/>
      <c r="Y27" s="63"/>
      <c r="Z27" s="63"/>
      <c r="AA27" s="63"/>
      <c r="AB27" s="63"/>
      <c r="AC27" s="63"/>
      <c r="AD27" s="63"/>
      <c r="AE27" s="63"/>
    </row>
    <row r="28" spans="1:31" ht="15.75" customHeight="1">
      <c r="A28" s="63">
        <v>27</v>
      </c>
      <c r="B28" s="64" t="s">
        <v>185</v>
      </c>
      <c r="C28" s="65">
        <v>6000</v>
      </c>
      <c r="D28" s="65">
        <v>200</v>
      </c>
      <c r="E28" s="67">
        <v>641</v>
      </c>
      <c r="F28" s="65">
        <v>1662.5</v>
      </c>
      <c r="G28" s="68">
        <f t="shared" si="0"/>
        <v>2503.5</v>
      </c>
      <c r="H28" s="68">
        <f t="shared" si="1"/>
        <v>5496.5</v>
      </c>
      <c r="I28" s="67">
        <v>8000</v>
      </c>
      <c r="J28" s="67" t="s">
        <v>159</v>
      </c>
      <c r="K28" s="67">
        <f t="shared" si="2"/>
        <v>6000</v>
      </c>
      <c r="L28" s="63">
        <f t="shared" si="3"/>
        <v>2000</v>
      </c>
      <c r="M28" s="63"/>
      <c r="N28" s="63"/>
      <c r="O28" s="63"/>
      <c r="P28" s="63"/>
      <c r="Q28" s="63"/>
      <c r="R28" s="63"/>
      <c r="S28" s="63"/>
      <c r="T28" s="63"/>
      <c r="U28" s="63"/>
      <c r="V28" s="63"/>
      <c r="W28" s="63"/>
      <c r="X28" s="63"/>
      <c r="Y28" s="63"/>
      <c r="Z28" s="63"/>
      <c r="AA28" s="63"/>
      <c r="AB28" s="63"/>
      <c r="AC28" s="63"/>
      <c r="AD28" s="63"/>
      <c r="AE28" s="63"/>
    </row>
    <row r="29" spans="1:31" ht="15.75" customHeight="1">
      <c r="A29" s="78">
        <v>28</v>
      </c>
      <c r="B29" s="79" t="s">
        <v>186</v>
      </c>
      <c r="C29" s="80">
        <v>14500</v>
      </c>
      <c r="D29" s="65">
        <v>200</v>
      </c>
      <c r="E29" s="78">
        <v>10156</v>
      </c>
      <c r="F29" s="65">
        <v>1662.5</v>
      </c>
      <c r="G29" s="78">
        <f t="shared" si="0"/>
        <v>12018.5</v>
      </c>
      <c r="H29" s="78">
        <f t="shared" si="1"/>
        <v>4981.5</v>
      </c>
      <c r="I29" s="80">
        <v>17000</v>
      </c>
      <c r="J29" s="78" t="s">
        <v>159</v>
      </c>
      <c r="K29" s="78">
        <f t="shared" si="2"/>
        <v>12750</v>
      </c>
      <c r="L29" s="81">
        <f t="shared" si="3"/>
        <v>4250</v>
      </c>
      <c r="M29" s="81"/>
      <c r="N29" s="81"/>
      <c r="O29" s="81"/>
      <c r="P29" s="81"/>
      <c r="Q29" s="81"/>
      <c r="R29" s="81"/>
      <c r="S29" s="81"/>
      <c r="T29" s="81"/>
      <c r="U29" s="81"/>
      <c r="V29" s="81"/>
      <c r="W29" s="81"/>
      <c r="X29" s="81"/>
      <c r="Y29" s="81"/>
      <c r="Z29" s="81"/>
      <c r="AA29" s="81"/>
      <c r="AB29" s="81"/>
      <c r="AC29" s="81"/>
      <c r="AD29" s="81"/>
      <c r="AE29" s="81"/>
    </row>
    <row r="30" spans="1:31" ht="15.75" customHeight="1">
      <c r="A30" s="83">
        <v>29</v>
      </c>
      <c r="B30" s="84" t="s">
        <v>187</v>
      </c>
      <c r="C30" s="85">
        <v>10000</v>
      </c>
      <c r="D30" s="65">
        <v>200</v>
      </c>
      <c r="E30" s="85">
        <v>5643</v>
      </c>
      <c r="F30" s="65">
        <v>1662.5</v>
      </c>
      <c r="G30" s="86">
        <f t="shared" si="0"/>
        <v>7505.5</v>
      </c>
      <c r="H30" s="86">
        <f t="shared" si="1"/>
        <v>5494.5</v>
      </c>
      <c r="I30" s="85">
        <v>13000</v>
      </c>
      <c r="J30" s="83" t="s">
        <v>159</v>
      </c>
      <c r="K30" s="83">
        <f t="shared" si="2"/>
        <v>9750</v>
      </c>
      <c r="L30" s="87">
        <f t="shared" si="3"/>
        <v>3250</v>
      </c>
      <c r="M30" s="87"/>
      <c r="N30" s="87"/>
      <c r="O30" s="87"/>
      <c r="P30" s="87"/>
      <c r="Q30" s="87"/>
      <c r="R30" s="87"/>
      <c r="S30" s="87"/>
      <c r="T30" s="87"/>
      <c r="U30" s="87"/>
      <c r="V30" s="87"/>
      <c r="W30" s="87"/>
      <c r="X30" s="87"/>
      <c r="Y30" s="87"/>
      <c r="Z30" s="87"/>
      <c r="AA30" s="87"/>
      <c r="AB30" s="87"/>
      <c r="AC30" s="87"/>
      <c r="AD30" s="87"/>
      <c r="AE30" s="87"/>
    </row>
    <row r="31" spans="1:31" ht="15.75" customHeight="1">
      <c r="A31" s="67">
        <v>30</v>
      </c>
      <c r="B31" s="64" t="s">
        <v>188</v>
      </c>
      <c r="C31" s="65">
        <v>6000</v>
      </c>
      <c r="D31" s="65">
        <v>200</v>
      </c>
      <c r="E31" s="67">
        <v>131</v>
      </c>
      <c r="F31" s="65">
        <v>1662.5</v>
      </c>
      <c r="G31" s="68">
        <f t="shared" si="0"/>
        <v>1993.5</v>
      </c>
      <c r="H31" s="68">
        <f t="shared" si="1"/>
        <v>6006.5</v>
      </c>
      <c r="I31" s="65">
        <v>8000</v>
      </c>
      <c r="J31" s="67" t="s">
        <v>159</v>
      </c>
      <c r="K31" s="67">
        <f t="shared" si="2"/>
        <v>6000</v>
      </c>
      <c r="L31" s="63">
        <f t="shared" si="3"/>
        <v>2000</v>
      </c>
      <c r="M31" s="63"/>
      <c r="N31" s="63"/>
      <c r="O31" s="63"/>
      <c r="P31" s="63"/>
      <c r="Q31" s="63"/>
      <c r="R31" s="63"/>
      <c r="S31" s="63"/>
      <c r="T31" s="63"/>
      <c r="U31" s="63"/>
      <c r="V31" s="63"/>
      <c r="W31" s="63"/>
      <c r="X31" s="63"/>
      <c r="Y31" s="63"/>
      <c r="Z31" s="63"/>
      <c r="AA31" s="63"/>
      <c r="AB31" s="63"/>
      <c r="AC31" s="63"/>
      <c r="AD31" s="63"/>
      <c r="AE31" s="63"/>
    </row>
    <row r="32" spans="1:31" ht="15.75" customHeight="1">
      <c r="A32" s="67">
        <v>31</v>
      </c>
      <c r="B32" s="64" t="s">
        <v>189</v>
      </c>
      <c r="C32" s="65">
        <v>6000</v>
      </c>
      <c r="D32" s="65">
        <v>200</v>
      </c>
      <c r="E32" s="65">
        <v>863</v>
      </c>
      <c r="F32" s="65">
        <v>1670</v>
      </c>
      <c r="G32" s="68">
        <f t="shared" si="0"/>
        <v>2733</v>
      </c>
      <c r="H32" s="68">
        <f t="shared" si="1"/>
        <v>5267</v>
      </c>
      <c r="I32" s="67">
        <v>8000</v>
      </c>
      <c r="J32" s="67" t="s">
        <v>159</v>
      </c>
      <c r="K32" s="67">
        <f t="shared" si="2"/>
        <v>6000</v>
      </c>
      <c r="L32" s="63">
        <f t="shared" si="3"/>
        <v>2000</v>
      </c>
      <c r="M32" s="63"/>
      <c r="N32" s="63"/>
      <c r="O32" s="63"/>
      <c r="P32" s="63"/>
      <c r="Q32" s="63"/>
      <c r="R32" s="63"/>
      <c r="S32" s="63"/>
      <c r="T32" s="63"/>
      <c r="U32" s="63"/>
      <c r="V32" s="63"/>
      <c r="W32" s="63"/>
      <c r="X32" s="63"/>
      <c r="Y32" s="63"/>
      <c r="Z32" s="63"/>
      <c r="AA32" s="63"/>
      <c r="AB32" s="63"/>
      <c r="AC32" s="63"/>
      <c r="AD32" s="63"/>
      <c r="AE32" s="63"/>
    </row>
    <row r="33" spans="1:31" ht="15.75" customHeight="1">
      <c r="A33" s="63">
        <v>32</v>
      </c>
      <c r="B33" s="64" t="s">
        <v>190</v>
      </c>
      <c r="C33" s="65">
        <v>6000</v>
      </c>
      <c r="D33" s="65">
        <v>200</v>
      </c>
      <c r="E33" s="67">
        <v>1651</v>
      </c>
      <c r="F33" s="65">
        <v>1662.5</v>
      </c>
      <c r="G33" s="68">
        <f t="shared" si="0"/>
        <v>3513.5</v>
      </c>
      <c r="H33" s="68">
        <f t="shared" si="1"/>
        <v>4486.5</v>
      </c>
      <c r="I33" s="67">
        <v>8000</v>
      </c>
      <c r="J33" s="67" t="s">
        <v>159</v>
      </c>
      <c r="K33" s="67">
        <f t="shared" si="2"/>
        <v>6000</v>
      </c>
      <c r="L33" s="63">
        <f t="shared" si="3"/>
        <v>2000</v>
      </c>
      <c r="M33" s="63"/>
      <c r="N33" s="63"/>
      <c r="O33" s="63"/>
      <c r="P33" s="63"/>
      <c r="Q33" s="63"/>
      <c r="R33" s="63"/>
      <c r="S33" s="63"/>
      <c r="T33" s="63"/>
      <c r="U33" s="63"/>
      <c r="V33" s="63"/>
      <c r="W33" s="63"/>
      <c r="X33" s="63"/>
      <c r="Y33" s="63"/>
      <c r="Z33" s="63"/>
      <c r="AA33" s="63"/>
      <c r="AB33" s="63"/>
      <c r="AC33" s="63"/>
      <c r="AD33" s="63"/>
      <c r="AE33" s="63"/>
    </row>
    <row r="34" spans="1:31" ht="15.75" customHeight="1">
      <c r="A34" s="67">
        <v>33</v>
      </c>
      <c r="B34" s="64" t="s">
        <v>191</v>
      </c>
      <c r="C34" s="65">
        <v>6000</v>
      </c>
      <c r="D34" s="65">
        <v>200</v>
      </c>
      <c r="E34" s="67">
        <v>391</v>
      </c>
      <c r="F34" s="65">
        <v>1662.5</v>
      </c>
      <c r="G34" s="68">
        <f t="shared" si="0"/>
        <v>2253.5</v>
      </c>
      <c r="H34" s="68">
        <f t="shared" si="1"/>
        <v>5746.5</v>
      </c>
      <c r="I34" s="67">
        <v>8000</v>
      </c>
      <c r="J34" s="67" t="s">
        <v>159</v>
      </c>
      <c r="K34" s="67">
        <f t="shared" si="2"/>
        <v>6000</v>
      </c>
      <c r="L34" s="63">
        <f t="shared" si="3"/>
        <v>2000</v>
      </c>
      <c r="M34" s="63"/>
      <c r="N34" s="63"/>
      <c r="O34" s="63"/>
      <c r="P34" s="63"/>
      <c r="Q34" s="63"/>
      <c r="R34" s="63"/>
      <c r="S34" s="63"/>
      <c r="T34" s="63"/>
      <c r="U34" s="63"/>
      <c r="V34" s="63"/>
      <c r="W34" s="63"/>
      <c r="X34" s="63"/>
      <c r="Y34" s="63"/>
      <c r="Z34" s="63"/>
      <c r="AA34" s="63"/>
      <c r="AB34" s="63"/>
      <c r="AC34" s="63"/>
      <c r="AD34" s="63"/>
      <c r="AE34" s="63"/>
    </row>
    <row r="35" spans="1:31" ht="15.75" customHeight="1">
      <c r="A35" s="67">
        <v>34</v>
      </c>
      <c r="B35" s="64" t="s">
        <v>192</v>
      </c>
      <c r="C35" s="65">
        <v>6000</v>
      </c>
      <c r="D35" s="65">
        <v>200</v>
      </c>
      <c r="E35" s="67">
        <v>1141</v>
      </c>
      <c r="F35" s="65">
        <v>1662.5</v>
      </c>
      <c r="G35" s="68">
        <f t="shared" si="0"/>
        <v>3003.5</v>
      </c>
      <c r="H35" s="68">
        <f t="shared" si="1"/>
        <v>4996.5</v>
      </c>
      <c r="I35" s="67">
        <v>8000</v>
      </c>
      <c r="J35" s="67" t="s">
        <v>159</v>
      </c>
      <c r="K35" s="67">
        <f t="shared" si="2"/>
        <v>6000</v>
      </c>
      <c r="L35" s="63">
        <f t="shared" si="3"/>
        <v>2000</v>
      </c>
      <c r="M35" s="63"/>
      <c r="N35" s="63"/>
      <c r="O35" s="63"/>
      <c r="P35" s="63"/>
      <c r="Q35" s="63"/>
      <c r="R35" s="63"/>
      <c r="S35" s="63"/>
      <c r="T35" s="63"/>
      <c r="U35" s="63"/>
      <c r="V35" s="63"/>
      <c r="W35" s="63"/>
      <c r="X35" s="63"/>
      <c r="Y35" s="63"/>
      <c r="Z35" s="63"/>
      <c r="AA35" s="63"/>
      <c r="AB35" s="63"/>
      <c r="AC35" s="63"/>
      <c r="AD35" s="63"/>
      <c r="AE35" s="63"/>
    </row>
    <row r="36" spans="1:31" ht="15.75" customHeight="1">
      <c r="A36" s="67">
        <v>35</v>
      </c>
      <c r="B36" s="64" t="s">
        <v>193</v>
      </c>
      <c r="C36" s="65">
        <v>6000</v>
      </c>
      <c r="D36" s="65">
        <v>200</v>
      </c>
      <c r="E36" s="67">
        <v>1141</v>
      </c>
      <c r="F36" s="65">
        <v>1662.5</v>
      </c>
      <c r="G36" s="68">
        <f t="shared" si="0"/>
        <v>3003.5</v>
      </c>
      <c r="H36" s="68">
        <f t="shared" si="1"/>
        <v>4996.5</v>
      </c>
      <c r="I36" s="67">
        <v>8000</v>
      </c>
      <c r="J36" s="67" t="s">
        <v>159</v>
      </c>
      <c r="K36" s="67">
        <f t="shared" si="2"/>
        <v>6000</v>
      </c>
      <c r="L36" s="63">
        <f t="shared" si="3"/>
        <v>2000</v>
      </c>
      <c r="M36" s="63"/>
      <c r="N36" s="63"/>
      <c r="O36" s="63"/>
      <c r="P36" s="63"/>
      <c r="Q36" s="63"/>
      <c r="R36" s="63"/>
      <c r="S36" s="63"/>
      <c r="T36" s="63"/>
      <c r="U36" s="63"/>
      <c r="V36" s="63"/>
      <c r="W36" s="63"/>
      <c r="X36" s="63"/>
      <c r="Y36" s="63"/>
      <c r="Z36" s="63"/>
      <c r="AA36" s="63"/>
      <c r="AB36" s="63"/>
      <c r="AC36" s="63"/>
      <c r="AD36" s="63"/>
      <c r="AE36" s="63"/>
    </row>
    <row r="37" spans="1:31" ht="15.75" customHeight="1">
      <c r="A37" s="67">
        <v>36</v>
      </c>
      <c r="B37" s="64" t="s">
        <v>194</v>
      </c>
      <c r="C37" s="65">
        <v>6000</v>
      </c>
      <c r="D37" s="65">
        <v>200</v>
      </c>
      <c r="E37" s="67">
        <v>501</v>
      </c>
      <c r="F37" s="65">
        <v>1662.5</v>
      </c>
      <c r="G37" s="68">
        <f t="shared" si="0"/>
        <v>2363.5</v>
      </c>
      <c r="H37" s="68">
        <f t="shared" si="1"/>
        <v>5636.5</v>
      </c>
      <c r="I37" s="67">
        <v>8000</v>
      </c>
      <c r="J37" s="67" t="s">
        <v>159</v>
      </c>
      <c r="K37" s="67">
        <f t="shared" si="2"/>
        <v>6000</v>
      </c>
      <c r="L37" s="63">
        <f t="shared" si="3"/>
        <v>2000</v>
      </c>
      <c r="M37" s="63"/>
      <c r="N37" s="63"/>
      <c r="O37" s="63"/>
      <c r="P37" s="63"/>
      <c r="Q37" s="63"/>
      <c r="R37" s="63"/>
      <c r="S37" s="63"/>
      <c r="T37" s="63"/>
      <c r="U37" s="63"/>
      <c r="V37" s="63"/>
      <c r="W37" s="63"/>
      <c r="X37" s="63"/>
      <c r="Y37" s="63"/>
      <c r="Z37" s="63"/>
      <c r="AA37" s="63"/>
      <c r="AB37" s="63"/>
      <c r="AC37" s="63"/>
      <c r="AD37" s="63"/>
      <c r="AE37" s="63"/>
    </row>
    <row r="38" spans="1:31" ht="15.75" customHeight="1">
      <c r="A38" s="67"/>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row>
    <row r="39" spans="1:31" ht="15.75" customHeight="1">
      <c r="A39" s="67"/>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row>
    <row r="40" spans="1:31" ht="15.75" customHeight="1">
      <c r="A40" s="67"/>
      <c r="B40" s="88" t="s">
        <v>195</v>
      </c>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row>
    <row r="41" spans="1:31" ht="15.75" customHeight="1">
      <c r="A41" s="67"/>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row>
    <row r="42" spans="1:31" ht="15.75" customHeight="1">
      <c r="A42" s="67"/>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row>
    <row r="43" spans="1:31" ht="15.75" customHeight="1">
      <c r="A43" s="67"/>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row>
    <row r="44" spans="1:31" ht="15.75" customHeight="1">
      <c r="A44" s="67"/>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row>
    <row r="45" spans="1:31" ht="15.75" customHeight="1">
      <c r="A45" s="67"/>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row>
    <row r="46" spans="1:31" ht="15.75" customHeight="1">
      <c r="A46" s="67"/>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row>
    <row r="47" spans="1:31" ht="15.75" customHeight="1">
      <c r="A47" s="67"/>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row>
    <row r="48" spans="1:31" ht="15.75" customHeight="1">
      <c r="A48" s="67"/>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row>
    <row r="49" spans="1:31" ht="15.75" customHeight="1">
      <c r="A49" s="67"/>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row>
    <row r="50" spans="1:31" ht="15.75" customHeight="1">
      <c r="A50" s="67"/>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row>
    <row r="51" spans="1:31" ht="15.75" customHeight="1">
      <c r="A51" s="67"/>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row>
    <row r="52" spans="1:31" ht="15.75" customHeight="1">
      <c r="A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row>
    <row r="53" spans="1:31" ht="15.75" customHeight="1">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row>
    <row r="54" spans="1:31" ht="15.75" customHeight="1">
      <c r="A54" s="63"/>
      <c r="B54" s="63" t="s">
        <v>196</v>
      </c>
      <c r="C54" s="63" t="s">
        <v>197</v>
      </c>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row>
    <row r="55" spans="1:31" ht="15.75" customHeight="1">
      <c r="A55" s="63"/>
      <c r="B55" s="63" t="s">
        <v>198</v>
      </c>
      <c r="C55" s="63">
        <v>15000</v>
      </c>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row>
    <row r="56" spans="1:31" ht="15.75" customHeight="1">
      <c r="A56" s="63"/>
      <c r="B56" s="63" t="s">
        <v>199</v>
      </c>
      <c r="C56" s="63">
        <v>12000</v>
      </c>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row>
    <row r="57" spans="1:31" ht="15.75" customHeight="1">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row>
    <row r="58" spans="1:31" ht="15.75" customHeight="1">
      <c r="A58" s="63"/>
      <c r="B58" s="63" t="s">
        <v>200</v>
      </c>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row>
    <row r="59" spans="1:31" ht="15.75" customHeight="1">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row>
    <row r="60" spans="1:31" ht="15.75" customHeight="1">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row>
    <row r="61" spans="1:31" ht="15.75" customHeight="1">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row>
    <row r="62" spans="1:31" ht="15.75" customHeight="1">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row>
    <row r="63" spans="1:31" ht="15.75" customHeight="1">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row>
    <row r="64" spans="1:31" ht="15.75" customHeight="1">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row>
    <row r="65" spans="1:31" ht="15.75" customHeight="1">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row>
    <row r="66" spans="1:31" ht="15.75" customHeight="1">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row>
    <row r="67" spans="1:31" ht="15.75" customHeight="1">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row>
    <row r="68" spans="1:31" ht="15.75" customHeight="1">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row>
    <row r="69" spans="1:31" ht="15.75"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row>
    <row r="70" spans="1:31" ht="15.75" customHeight="1">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row>
    <row r="71" spans="1:31" ht="15.75" customHeight="1">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row>
    <row r="72" spans="1:31" ht="15.75" customHeight="1">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row>
    <row r="73" spans="1:31" ht="15.75" customHeight="1">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row>
    <row r="74" spans="1:31" ht="15.75" customHeight="1">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row>
    <row r="75" spans="1:31" ht="15.75" customHeight="1">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row>
    <row r="76" spans="1:31" ht="15.75" customHeight="1">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row>
    <row r="77" spans="1:31" ht="15.75" customHeight="1">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row>
    <row r="78" spans="1:31" ht="15.75" customHeight="1">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row>
    <row r="79" spans="1:31" ht="15.75"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row>
    <row r="80" spans="1:31" ht="15.75"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row>
    <row r="81" spans="1:31" ht="15.75"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row>
    <row r="82" spans="1:31" ht="15.75"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row>
    <row r="83" spans="1:31" ht="15.75"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row>
    <row r="84" spans="1:31" ht="15.75"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row>
    <row r="85" spans="1:31" ht="15.75"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row>
    <row r="86" spans="1:31" ht="15.75"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row>
    <row r="87" spans="1:31" ht="15.75"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row>
    <row r="88" spans="1:31" ht="15.75"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row>
    <row r="89" spans="1:31" ht="15.75"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row>
    <row r="90" spans="1:31" ht="15.75"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row>
    <row r="91" spans="1:31" ht="15.75"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row>
    <row r="92" spans="1:31" ht="15.75"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row>
    <row r="93" spans="1:31" ht="15.75"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row>
    <row r="94" spans="1:31" ht="15.75"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row>
    <row r="95" spans="1:31" ht="15.75"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row>
    <row r="96" spans="1:31" ht="15.75"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row>
    <row r="97" spans="1:31" ht="15.75"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row>
    <row r="98" spans="1:31" ht="15.75"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row>
    <row r="99" spans="1:31" ht="15.75"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row>
    <row r="100" spans="1:31" ht="15.75"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row>
    <row r="101" spans="1:31" ht="15.75"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row>
    <row r="102" spans="1:31" ht="15.75"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row>
    <row r="103" spans="1:31" ht="15.75"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row>
    <row r="104" spans="1:31" ht="15.75"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row>
    <row r="105" spans="1:31" ht="15.75"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row>
    <row r="106" spans="1:31" ht="15.75"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row>
    <row r="107" spans="1:31" ht="15.75"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row>
    <row r="108" spans="1:31" ht="15.75"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row>
    <row r="109" spans="1:31" ht="15.75"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row>
    <row r="110" spans="1:31" ht="15.75"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row>
    <row r="111" spans="1:31" ht="15.75"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row>
    <row r="112" spans="1:31" ht="15.75"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row>
    <row r="113" spans="1:31" ht="15.75"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row>
    <row r="114" spans="1:31" ht="15.75"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row>
    <row r="115" spans="1:31" ht="15.75"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row>
    <row r="116" spans="1:31" ht="15.75"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row>
    <row r="117" spans="1:31" ht="15.75"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row>
    <row r="118" spans="1:31" ht="15.75"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row>
    <row r="119" spans="1:31" ht="15.75"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row>
    <row r="120" spans="1:31" ht="15.75"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row>
    <row r="121" spans="1:31" ht="15.75"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row>
    <row r="122" spans="1:31" ht="15.75"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row>
    <row r="123" spans="1:31" ht="15.75"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row>
    <row r="124" spans="1:31" ht="15.75"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row>
    <row r="125" spans="1:31" ht="15.75"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row>
    <row r="126" spans="1:31" ht="15.75"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row>
    <row r="127" spans="1:31" ht="15.75"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row>
    <row r="128" spans="1:31" ht="15.75"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row>
    <row r="129" spans="1:31" ht="15.75"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row>
    <row r="130" spans="1:31" ht="15.75"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row>
    <row r="131" spans="1:31" ht="15.75"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row>
    <row r="132" spans="1:31" ht="15.75"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row>
    <row r="133" spans="1:31" ht="15.75"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row>
    <row r="134" spans="1:31" ht="15.75"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row>
    <row r="135" spans="1:31" ht="15.75"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row>
    <row r="136" spans="1:31" ht="15.75"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row>
    <row r="137" spans="1:31" ht="15.75"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row>
    <row r="138" spans="1:31" ht="15.75"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row>
    <row r="139" spans="1:31" ht="15.75"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row>
    <row r="140" spans="1:31" ht="15.75"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row>
    <row r="141" spans="1:31" ht="15.75"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row>
    <row r="142" spans="1:31" ht="15.75"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row>
    <row r="143" spans="1:31" ht="15.75"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row>
    <row r="144" spans="1:31" ht="15.75"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row>
    <row r="145" spans="1:31" ht="15.75"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row>
    <row r="146" spans="1:31" ht="15.75"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row>
    <row r="147" spans="1:31" ht="15.75"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row>
    <row r="148" spans="1:31" ht="15.75"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row>
    <row r="149" spans="1:31" ht="15.75"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row>
    <row r="150" spans="1:31" ht="15.75"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row>
    <row r="151" spans="1:31" ht="15.75"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row>
    <row r="152" spans="1:31" ht="15.75"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row>
    <row r="153" spans="1:31" ht="15.75"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row>
    <row r="154" spans="1:31" ht="15.75"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row>
    <row r="155" spans="1:31" ht="15.75"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row>
    <row r="156" spans="1:31" ht="15.75"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row>
    <row r="157" spans="1:31" ht="15.75"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row>
    <row r="158" spans="1:31" ht="15.75"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row>
    <row r="159" spans="1:31" ht="15.75"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row>
    <row r="160" spans="1:31" ht="15.75"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row>
    <row r="161" spans="1:31" ht="15.75"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row>
    <row r="162" spans="1:31" ht="15.75"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row>
    <row r="163" spans="1:31" ht="15.75"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row>
    <row r="164" spans="1:31" ht="15.75"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row>
    <row r="165" spans="1:31" ht="15.75"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row>
    <row r="166" spans="1:31" ht="15.75"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row>
    <row r="167" spans="1:31" ht="15.75"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row>
    <row r="168" spans="1:31" ht="15.75"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row>
    <row r="169" spans="1:31" ht="15.75"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row>
    <row r="170" spans="1:31" ht="15.75"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row>
    <row r="171" spans="1:31" ht="15.75"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row>
    <row r="172" spans="1:31" ht="15.75"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row>
    <row r="173" spans="1:31" ht="15.75"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row>
    <row r="174" spans="1:31" ht="15.75"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row>
    <row r="175" spans="1:31" ht="15.75"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row>
    <row r="176" spans="1:31" ht="15.75"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row>
    <row r="177" spans="1:31" ht="15.75"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row>
    <row r="178" spans="1:31" ht="15.75"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row>
    <row r="179" spans="1:31" ht="15.75"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row>
    <row r="180" spans="1:31" ht="15.75"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row>
    <row r="181" spans="1:31" ht="15.75"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row>
    <row r="182" spans="1:31" ht="15.75"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row>
    <row r="183" spans="1:31" ht="15.75"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row>
    <row r="184" spans="1:31" ht="15.75"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row>
    <row r="185" spans="1:31" ht="15.75"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row>
    <row r="186" spans="1:31" ht="15.75"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row>
    <row r="187" spans="1:31" ht="15.75"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row>
    <row r="188" spans="1:31" ht="15.75"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row>
    <row r="189" spans="1:31" ht="15.75"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row>
    <row r="190" spans="1:31" ht="15.75"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row>
    <row r="191" spans="1:31" ht="15.75"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row>
    <row r="192" spans="1:31" ht="15.75"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row>
    <row r="193" spans="1:31" ht="15.75"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row>
    <row r="194" spans="1:31" ht="15.75"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row>
    <row r="195" spans="1:31" ht="15.75"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row>
    <row r="196" spans="1:31" ht="15.75"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row>
    <row r="197" spans="1:31" ht="15.75"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row>
    <row r="198" spans="1:31" ht="15.75"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row>
    <row r="199" spans="1:31" ht="15.75"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row>
    <row r="200" spans="1:31" ht="15.75"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row>
    <row r="201" spans="1:31" ht="15.75"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row>
    <row r="202" spans="1:31" ht="15.75"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row>
    <row r="203" spans="1:31" ht="15.75"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row>
    <row r="204" spans="1:31" ht="15.75"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row>
    <row r="205" spans="1:31" ht="15.75"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row>
    <row r="206" spans="1:31" ht="15.75"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row>
    <row r="207" spans="1:31" ht="15.75"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row>
    <row r="208" spans="1:31" ht="15.75"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row>
    <row r="209" spans="1:31" ht="15.75"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row>
    <row r="210" spans="1:31" ht="15.75"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row>
    <row r="211" spans="1:31" ht="15.75"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row>
    <row r="212" spans="1:31" ht="15.75"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row>
    <row r="213" spans="1:31" ht="15.75"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row>
    <row r="214" spans="1:31" ht="15.75"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row>
    <row r="215" spans="1:31" ht="15.75"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row>
    <row r="216" spans="1:31" ht="15.75"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row>
    <row r="217" spans="1:31" ht="15.75"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row>
    <row r="218" spans="1:31" ht="15.75"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row>
    <row r="219" spans="1:31" ht="15.75"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row>
    <row r="220" spans="1:31" ht="15.75"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row>
    <row r="221" spans="1:31" ht="15.75"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row>
    <row r="222" spans="1:31" ht="15.75"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row>
    <row r="223" spans="1:31" ht="15.75"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row>
    <row r="224" spans="1:31" ht="15.75"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row>
    <row r="225" spans="1:31" ht="15.75"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row>
    <row r="226" spans="1:31" ht="15.75"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row>
    <row r="227" spans="1:31" ht="15.75"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row>
    <row r="228" spans="1:31" ht="15.75"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row>
    <row r="229" spans="1:31" ht="15.75"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row>
    <row r="230" spans="1:31" ht="15.75"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row>
    <row r="231" spans="1:31" ht="15.75"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row>
    <row r="232" spans="1:31" ht="15.75"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row>
    <row r="233" spans="1:31" ht="15.75"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row>
    <row r="234" spans="1:31" ht="15.75"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row>
    <row r="235" spans="1:31" ht="15.75"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row>
    <row r="236" spans="1:31" ht="15.75"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row>
    <row r="237" spans="1:31" ht="15.75"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row>
    <row r="238" spans="1:31" ht="15.75"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row>
    <row r="239" spans="1:31" ht="15.75"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row>
    <row r="240" spans="1:31" ht="15.75"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row>
    <row r="241" spans="4:9" ht="15.75" customHeight="1">
      <c r="D241" s="63"/>
      <c r="I241" s="63"/>
    </row>
    <row r="242" spans="4:9" ht="15.75" customHeight="1">
      <c r="D242" s="63"/>
      <c r="I242" s="63"/>
    </row>
    <row r="243" spans="4:9" ht="15.75" customHeight="1">
      <c r="D243" s="63"/>
      <c r="I243" s="63"/>
    </row>
    <row r="244" spans="4:9" ht="15.75" customHeight="1">
      <c r="D244" s="63"/>
      <c r="I244" s="63"/>
    </row>
    <row r="245" spans="4:9" ht="15.75" customHeight="1"/>
    <row r="246" spans="4:9" ht="15.75" customHeight="1"/>
    <row r="247" spans="4:9" ht="15.75" customHeight="1"/>
    <row r="248" spans="4:9" ht="15.75" customHeight="1"/>
    <row r="249" spans="4:9" ht="15.75" customHeight="1"/>
    <row r="250" spans="4:9" ht="15.75" customHeight="1"/>
    <row r="251" spans="4:9" ht="15.75" customHeight="1"/>
    <row r="252" spans="4:9" ht="15.75" customHeight="1"/>
    <row r="253" spans="4:9" ht="15.75" customHeight="1"/>
    <row r="254" spans="4:9" ht="15.75" customHeight="1"/>
    <row r="255" spans="4:9" ht="15.75" customHeight="1"/>
    <row r="256" spans="4:9"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G1000"/>
  <sheetViews>
    <sheetView workbookViewId="0">
      <pane ySplit="1" topLeftCell="A2" activePane="bottomLeft" state="frozen"/>
      <selection pane="bottomLeft" activeCell="C31" sqref="C31"/>
    </sheetView>
  </sheetViews>
  <sheetFormatPr defaultColWidth="14.44140625" defaultRowHeight="15" customHeight="1"/>
  <cols>
    <col min="1" max="1" width="6.44140625" customWidth="1"/>
    <col min="2" max="2" width="41.6640625" customWidth="1"/>
    <col min="3" max="3" width="31.6640625" customWidth="1"/>
    <col min="4" max="5" width="13.88671875" customWidth="1"/>
    <col min="6" max="6" width="16.5546875" customWidth="1"/>
    <col min="7" max="7" width="14.44140625" customWidth="1"/>
    <col min="8" max="8" width="12.6640625" customWidth="1"/>
    <col min="9" max="9" width="9.6640625" customWidth="1"/>
    <col min="10" max="10" width="15.6640625" customWidth="1"/>
    <col min="13" max="13" width="22.88671875" customWidth="1"/>
  </cols>
  <sheetData>
    <row r="1" spans="1:33" ht="14.4">
      <c r="A1" s="89" t="s">
        <v>201</v>
      </c>
      <c r="B1" s="59" t="s">
        <v>146</v>
      </c>
      <c r="C1" s="59" t="s">
        <v>147</v>
      </c>
      <c r="D1" s="59" t="s">
        <v>148</v>
      </c>
      <c r="E1" s="59" t="s">
        <v>149</v>
      </c>
      <c r="F1" s="61" t="s">
        <v>202</v>
      </c>
      <c r="G1" s="61" t="s">
        <v>150</v>
      </c>
      <c r="H1" s="60" t="s">
        <v>203</v>
      </c>
      <c r="I1" s="62" t="s">
        <v>204</v>
      </c>
      <c r="J1" s="62" t="s">
        <v>205</v>
      </c>
      <c r="K1" s="61" t="s">
        <v>154</v>
      </c>
      <c r="L1" s="59" t="s">
        <v>155</v>
      </c>
      <c r="M1" s="59" t="s">
        <v>156</v>
      </c>
      <c r="N1" s="59" t="s">
        <v>157</v>
      </c>
      <c r="O1" s="63"/>
      <c r="P1" s="63"/>
      <c r="Q1" s="63"/>
      <c r="R1" s="63"/>
      <c r="S1" s="63"/>
      <c r="T1" s="63"/>
      <c r="U1" s="63"/>
      <c r="V1" s="63"/>
      <c r="W1" s="63"/>
      <c r="X1" s="63"/>
      <c r="Y1" s="63"/>
      <c r="Z1" s="63"/>
      <c r="AA1" s="63"/>
      <c r="AB1" s="63"/>
      <c r="AC1" s="63"/>
      <c r="AD1" s="63"/>
      <c r="AE1" s="63"/>
      <c r="AF1" s="63"/>
      <c r="AG1" s="63"/>
    </row>
    <row r="2" spans="1:33" ht="14.25" customHeight="1">
      <c r="A2" s="63">
        <v>1</v>
      </c>
      <c r="B2" s="64" t="s">
        <v>158</v>
      </c>
      <c r="C2" s="65">
        <v>8000</v>
      </c>
      <c r="D2" s="64"/>
      <c r="E2" s="64"/>
      <c r="F2" s="67">
        <v>0</v>
      </c>
      <c r="G2" s="67">
        <v>151</v>
      </c>
      <c r="H2" s="65">
        <v>1750</v>
      </c>
      <c r="I2" s="68">
        <f t="shared" ref="I2:I37" si="0">H2+G2+F2+E2+D2</f>
        <v>1901</v>
      </c>
      <c r="J2" s="68">
        <f t="shared" ref="J2:J37" si="1">K2-I2</f>
        <v>3599</v>
      </c>
      <c r="K2" s="65">
        <v>5500</v>
      </c>
      <c r="L2" s="67" t="s">
        <v>159</v>
      </c>
      <c r="M2" s="67">
        <f t="shared" ref="M2:M37" si="2">(75/100)*K2</f>
        <v>4125</v>
      </c>
      <c r="N2" s="63">
        <f t="shared" ref="N2:N37" si="3">K2-M2</f>
        <v>1375</v>
      </c>
      <c r="O2" s="63"/>
      <c r="P2" s="63"/>
      <c r="Q2" s="63"/>
      <c r="R2" s="63"/>
      <c r="S2" s="63"/>
      <c r="T2" s="63"/>
      <c r="U2" s="63"/>
      <c r="V2" s="63"/>
      <c r="W2" s="63"/>
      <c r="X2" s="63"/>
      <c r="Y2" s="63"/>
      <c r="Z2" s="63"/>
      <c r="AA2" s="63"/>
      <c r="AB2" s="63"/>
      <c r="AC2" s="63"/>
      <c r="AD2" s="63"/>
      <c r="AE2" s="63"/>
      <c r="AF2" s="63"/>
      <c r="AG2" s="63"/>
    </row>
    <row r="3" spans="1:33" ht="15" customHeight="1">
      <c r="A3" s="69">
        <v>2</v>
      </c>
      <c r="B3" s="70" t="s">
        <v>160</v>
      </c>
      <c r="C3" s="67">
        <v>8000</v>
      </c>
      <c r="D3" s="71"/>
      <c r="E3" s="71"/>
      <c r="F3" s="69">
        <v>0</v>
      </c>
      <c r="G3" s="69">
        <v>1651</v>
      </c>
      <c r="H3" s="65">
        <v>1750</v>
      </c>
      <c r="I3" s="69">
        <f t="shared" si="0"/>
        <v>3401</v>
      </c>
      <c r="J3" s="69">
        <f t="shared" si="1"/>
        <v>2099</v>
      </c>
      <c r="K3" s="65">
        <v>5500</v>
      </c>
      <c r="L3" s="69" t="s">
        <v>159</v>
      </c>
      <c r="M3" s="69">
        <f t="shared" si="2"/>
        <v>4125</v>
      </c>
      <c r="N3" s="72">
        <f t="shared" si="3"/>
        <v>1375</v>
      </c>
      <c r="O3" s="72"/>
      <c r="P3" s="72"/>
      <c r="Q3" s="72"/>
      <c r="R3" s="72"/>
      <c r="S3" s="72"/>
      <c r="T3" s="72"/>
      <c r="U3" s="72"/>
      <c r="V3" s="72"/>
      <c r="W3" s="72"/>
      <c r="X3" s="72"/>
      <c r="Y3" s="72"/>
      <c r="Z3" s="72"/>
      <c r="AA3" s="72"/>
      <c r="AB3" s="72"/>
      <c r="AC3" s="72"/>
      <c r="AD3" s="72"/>
      <c r="AE3" s="72"/>
      <c r="AF3" s="72"/>
      <c r="AG3" s="72"/>
    </row>
    <row r="4" spans="1:33" ht="15" customHeight="1">
      <c r="A4" s="67">
        <v>3</v>
      </c>
      <c r="B4" s="64" t="s">
        <v>161</v>
      </c>
      <c r="C4" s="67">
        <v>8000</v>
      </c>
      <c r="D4" s="64"/>
      <c r="E4" s="64"/>
      <c r="F4" s="67">
        <v>0</v>
      </c>
      <c r="G4" s="67">
        <v>841</v>
      </c>
      <c r="H4" s="65">
        <v>1750</v>
      </c>
      <c r="I4" s="68">
        <f t="shared" si="0"/>
        <v>2591</v>
      </c>
      <c r="J4" s="68">
        <f t="shared" si="1"/>
        <v>2909</v>
      </c>
      <c r="K4" s="65">
        <v>5500</v>
      </c>
      <c r="L4" s="67" t="s">
        <v>159</v>
      </c>
      <c r="M4" s="67">
        <f t="shared" si="2"/>
        <v>4125</v>
      </c>
      <c r="N4" s="63">
        <f t="shared" si="3"/>
        <v>1375</v>
      </c>
      <c r="O4" s="63"/>
      <c r="P4" s="63"/>
      <c r="Q4" s="63"/>
      <c r="R4" s="63"/>
      <c r="S4" s="63"/>
      <c r="T4" s="63"/>
      <c r="U4" s="63"/>
      <c r="V4" s="63"/>
      <c r="W4" s="63"/>
      <c r="X4" s="63"/>
      <c r="Y4" s="63"/>
      <c r="Z4" s="63"/>
      <c r="AA4" s="63"/>
      <c r="AB4" s="63"/>
      <c r="AC4" s="63"/>
      <c r="AD4" s="63"/>
      <c r="AE4" s="63"/>
      <c r="AF4" s="63"/>
      <c r="AG4" s="63"/>
    </row>
    <row r="5" spans="1:33" ht="15" customHeight="1">
      <c r="A5" s="63">
        <v>4</v>
      </c>
      <c r="B5" s="64" t="s">
        <v>162</v>
      </c>
      <c r="C5" s="67">
        <v>8000</v>
      </c>
      <c r="D5" s="64"/>
      <c r="E5" s="64"/>
      <c r="F5" s="67">
        <v>0</v>
      </c>
      <c r="G5" s="67">
        <v>656</v>
      </c>
      <c r="H5" s="65">
        <v>1750</v>
      </c>
      <c r="I5" s="68">
        <f t="shared" si="0"/>
        <v>2406</v>
      </c>
      <c r="J5" s="68">
        <f t="shared" si="1"/>
        <v>3094</v>
      </c>
      <c r="K5" s="65">
        <v>5500</v>
      </c>
      <c r="L5" s="67" t="s">
        <v>159</v>
      </c>
      <c r="M5" s="67">
        <f t="shared" si="2"/>
        <v>4125</v>
      </c>
      <c r="N5" s="63">
        <f t="shared" si="3"/>
        <v>1375</v>
      </c>
      <c r="O5" s="63"/>
      <c r="P5" s="63"/>
      <c r="Q5" s="63"/>
      <c r="R5" s="63"/>
      <c r="S5" s="63"/>
      <c r="T5" s="63"/>
      <c r="U5" s="63"/>
      <c r="V5" s="63"/>
      <c r="W5" s="63"/>
      <c r="X5" s="63"/>
      <c r="Y5" s="63"/>
      <c r="Z5" s="63"/>
      <c r="AA5" s="63"/>
      <c r="AB5" s="63"/>
      <c r="AC5" s="63"/>
      <c r="AD5" s="63"/>
      <c r="AE5" s="63"/>
      <c r="AF5" s="63"/>
      <c r="AG5" s="63"/>
    </row>
    <row r="6" spans="1:33" ht="15" customHeight="1">
      <c r="A6" s="67">
        <v>5</v>
      </c>
      <c r="B6" s="64" t="s">
        <v>163</v>
      </c>
      <c r="C6" s="67">
        <v>8000</v>
      </c>
      <c r="D6" s="64"/>
      <c r="E6" s="64"/>
      <c r="F6" s="67">
        <v>0</v>
      </c>
      <c r="G6" s="67">
        <v>231</v>
      </c>
      <c r="H6" s="65">
        <v>1750</v>
      </c>
      <c r="I6" s="68">
        <f t="shared" si="0"/>
        <v>1981</v>
      </c>
      <c r="J6" s="68">
        <f t="shared" si="1"/>
        <v>3519</v>
      </c>
      <c r="K6" s="65">
        <v>5500</v>
      </c>
      <c r="L6" s="67" t="s">
        <v>159</v>
      </c>
      <c r="M6" s="67">
        <f t="shared" si="2"/>
        <v>4125</v>
      </c>
      <c r="N6" s="63">
        <f t="shared" si="3"/>
        <v>1375</v>
      </c>
      <c r="O6" s="63"/>
      <c r="P6" s="63"/>
      <c r="Q6" s="63"/>
      <c r="R6" s="63"/>
      <c r="S6" s="63"/>
      <c r="T6" s="63"/>
      <c r="U6" s="63"/>
      <c r="V6" s="63"/>
      <c r="W6" s="63"/>
      <c r="X6" s="63"/>
      <c r="Y6" s="63"/>
      <c r="Z6" s="63"/>
      <c r="AA6" s="63"/>
      <c r="AB6" s="63"/>
      <c r="AC6" s="63"/>
      <c r="AD6" s="63"/>
      <c r="AE6" s="63"/>
      <c r="AF6" s="63"/>
      <c r="AG6" s="63"/>
    </row>
    <row r="7" spans="1:33" ht="15" customHeight="1">
      <c r="A7" s="67">
        <v>6</v>
      </c>
      <c r="B7" s="64" t="s">
        <v>164</v>
      </c>
      <c r="C7" s="67">
        <v>8000</v>
      </c>
      <c r="D7" s="64"/>
      <c r="E7" s="64"/>
      <c r="F7" s="67">
        <v>0</v>
      </c>
      <c r="G7" s="67">
        <v>134</v>
      </c>
      <c r="H7" s="65">
        <v>1750</v>
      </c>
      <c r="I7" s="68">
        <f t="shared" si="0"/>
        <v>1884</v>
      </c>
      <c r="J7" s="68">
        <f t="shared" si="1"/>
        <v>3616</v>
      </c>
      <c r="K7" s="65">
        <v>5500</v>
      </c>
      <c r="L7" s="67" t="s">
        <v>159</v>
      </c>
      <c r="M7" s="67">
        <f t="shared" si="2"/>
        <v>4125</v>
      </c>
      <c r="N7" s="63">
        <f t="shared" si="3"/>
        <v>1375</v>
      </c>
      <c r="O7" s="63"/>
      <c r="P7" s="63"/>
      <c r="Q7" s="63"/>
      <c r="R7" s="63"/>
      <c r="S7" s="63"/>
      <c r="T7" s="63"/>
      <c r="U7" s="63"/>
      <c r="V7" s="63"/>
      <c r="W7" s="63"/>
      <c r="X7" s="63"/>
      <c r="Y7" s="63"/>
      <c r="Z7" s="63"/>
      <c r="AA7" s="63"/>
      <c r="AB7" s="63"/>
      <c r="AC7" s="63"/>
      <c r="AD7" s="63"/>
      <c r="AE7" s="63"/>
      <c r="AF7" s="63"/>
      <c r="AG7" s="63"/>
    </row>
    <row r="8" spans="1:33" ht="15" customHeight="1">
      <c r="A8" s="63">
        <v>7</v>
      </c>
      <c r="B8" s="64" t="s">
        <v>165</v>
      </c>
      <c r="C8" s="67">
        <v>8000</v>
      </c>
      <c r="D8" s="64"/>
      <c r="E8" s="64"/>
      <c r="F8" s="67">
        <v>0</v>
      </c>
      <c r="G8" s="67">
        <v>141</v>
      </c>
      <c r="H8" s="65">
        <v>1750</v>
      </c>
      <c r="I8" s="68">
        <f t="shared" si="0"/>
        <v>1891</v>
      </c>
      <c r="J8" s="68">
        <f t="shared" si="1"/>
        <v>3609</v>
      </c>
      <c r="K8" s="65">
        <v>5500</v>
      </c>
      <c r="L8" s="67" t="s">
        <v>159</v>
      </c>
      <c r="M8" s="67">
        <f t="shared" si="2"/>
        <v>4125</v>
      </c>
      <c r="N8" s="63">
        <f t="shared" si="3"/>
        <v>1375</v>
      </c>
      <c r="O8" s="63"/>
      <c r="P8" s="63"/>
      <c r="Q8" s="63"/>
      <c r="R8" s="63"/>
      <c r="S8" s="63"/>
      <c r="T8" s="63"/>
      <c r="U8" s="63"/>
      <c r="V8" s="63"/>
      <c r="W8" s="63"/>
      <c r="X8" s="63"/>
      <c r="Y8" s="63"/>
      <c r="Z8" s="63"/>
      <c r="AA8" s="63"/>
      <c r="AB8" s="63"/>
      <c r="AC8" s="63"/>
      <c r="AD8" s="63"/>
      <c r="AE8" s="63"/>
      <c r="AF8" s="63"/>
      <c r="AG8" s="63"/>
    </row>
    <row r="9" spans="1:33" ht="15" customHeight="1">
      <c r="A9" s="67">
        <v>8</v>
      </c>
      <c r="B9" s="64" t="s">
        <v>166</v>
      </c>
      <c r="C9" s="67">
        <v>8000</v>
      </c>
      <c r="D9" s="64"/>
      <c r="E9" s="64"/>
      <c r="F9" s="67">
        <v>0</v>
      </c>
      <c r="G9" s="67">
        <v>132</v>
      </c>
      <c r="H9" s="65">
        <v>1750</v>
      </c>
      <c r="I9" s="68">
        <f t="shared" si="0"/>
        <v>1882</v>
      </c>
      <c r="J9" s="68">
        <f t="shared" si="1"/>
        <v>3618</v>
      </c>
      <c r="K9" s="65">
        <v>5500</v>
      </c>
      <c r="L9" s="67" t="s">
        <v>159</v>
      </c>
      <c r="M9" s="67">
        <f t="shared" si="2"/>
        <v>4125</v>
      </c>
      <c r="N9" s="63">
        <f t="shared" si="3"/>
        <v>1375</v>
      </c>
      <c r="O9" s="63"/>
      <c r="P9" s="63"/>
      <c r="Q9" s="63"/>
      <c r="R9" s="63"/>
      <c r="S9" s="63"/>
      <c r="T9" s="63"/>
      <c r="U9" s="63"/>
      <c r="V9" s="63"/>
      <c r="W9" s="63"/>
      <c r="X9" s="63"/>
      <c r="Y9" s="63"/>
      <c r="Z9" s="63"/>
      <c r="AA9" s="63"/>
      <c r="AB9" s="63"/>
      <c r="AC9" s="63"/>
      <c r="AD9" s="63"/>
      <c r="AE9" s="63"/>
      <c r="AF9" s="63"/>
      <c r="AG9" s="63"/>
    </row>
    <row r="10" spans="1:33" ht="15" customHeight="1">
      <c r="A10" s="67">
        <v>9</v>
      </c>
      <c r="B10" s="73" t="s">
        <v>167</v>
      </c>
      <c r="C10" s="67">
        <v>8000</v>
      </c>
      <c r="D10" s="64"/>
      <c r="E10" s="64"/>
      <c r="F10" s="67">
        <v>0</v>
      </c>
      <c r="G10" s="67">
        <v>151</v>
      </c>
      <c r="H10" s="65">
        <v>1750</v>
      </c>
      <c r="I10" s="68">
        <f t="shared" si="0"/>
        <v>1901</v>
      </c>
      <c r="J10" s="68">
        <f t="shared" si="1"/>
        <v>3599</v>
      </c>
      <c r="K10" s="65">
        <v>5500</v>
      </c>
      <c r="L10" s="67" t="s">
        <v>159</v>
      </c>
      <c r="M10" s="67">
        <f t="shared" si="2"/>
        <v>4125</v>
      </c>
      <c r="N10" s="63">
        <f t="shared" si="3"/>
        <v>1375</v>
      </c>
      <c r="O10" s="63"/>
      <c r="P10" s="63"/>
      <c r="Q10" s="63"/>
      <c r="R10" s="63"/>
      <c r="S10" s="63"/>
      <c r="T10" s="63"/>
      <c r="U10" s="63"/>
      <c r="V10" s="63"/>
      <c r="W10" s="63"/>
      <c r="X10" s="63"/>
      <c r="Y10" s="63"/>
      <c r="Z10" s="63"/>
      <c r="AA10" s="63"/>
      <c r="AB10" s="63"/>
      <c r="AC10" s="63"/>
      <c r="AD10" s="63"/>
      <c r="AE10" s="63"/>
      <c r="AF10" s="63"/>
      <c r="AG10" s="63"/>
    </row>
    <row r="11" spans="1:33" ht="15" customHeight="1">
      <c r="A11" s="67">
        <v>10</v>
      </c>
      <c r="B11" s="64" t="s">
        <v>168</v>
      </c>
      <c r="C11" s="67">
        <v>8000</v>
      </c>
      <c r="D11" s="64"/>
      <c r="E11" s="64"/>
      <c r="F11" s="67">
        <v>0</v>
      </c>
      <c r="G11" s="67">
        <v>141</v>
      </c>
      <c r="H11" s="65">
        <v>1750</v>
      </c>
      <c r="I11" s="68">
        <f t="shared" si="0"/>
        <v>1891</v>
      </c>
      <c r="J11" s="68">
        <f t="shared" si="1"/>
        <v>3609</v>
      </c>
      <c r="K11" s="65">
        <v>5500</v>
      </c>
      <c r="L11" s="67" t="s">
        <v>159</v>
      </c>
      <c r="M11" s="67">
        <f t="shared" si="2"/>
        <v>4125</v>
      </c>
      <c r="N11" s="63">
        <f t="shared" si="3"/>
        <v>1375</v>
      </c>
      <c r="O11" s="63"/>
      <c r="P11" s="63"/>
      <c r="Q11" s="63"/>
      <c r="R11" s="63"/>
      <c r="S11" s="63"/>
      <c r="T11" s="63"/>
      <c r="U11" s="63"/>
      <c r="V11" s="63"/>
      <c r="W11" s="63"/>
      <c r="X11" s="63"/>
      <c r="Y11" s="63"/>
      <c r="Z11" s="63"/>
      <c r="AA11" s="63"/>
      <c r="AB11" s="63"/>
      <c r="AC11" s="63"/>
      <c r="AD11" s="63"/>
      <c r="AE11" s="63"/>
      <c r="AF11" s="63"/>
      <c r="AG11" s="63"/>
    </row>
    <row r="12" spans="1:33" ht="15" customHeight="1">
      <c r="A12" s="67">
        <v>11</v>
      </c>
      <c r="B12" s="64" t="s">
        <v>169</v>
      </c>
      <c r="C12" s="67">
        <v>8000</v>
      </c>
      <c r="D12" s="64"/>
      <c r="E12" s="64"/>
      <c r="F12" s="67">
        <v>0</v>
      </c>
      <c r="G12" s="67">
        <v>181</v>
      </c>
      <c r="H12" s="65">
        <v>1750</v>
      </c>
      <c r="I12" s="68">
        <f t="shared" si="0"/>
        <v>1931</v>
      </c>
      <c r="J12" s="68">
        <f t="shared" si="1"/>
        <v>3569</v>
      </c>
      <c r="K12" s="65">
        <v>5500</v>
      </c>
      <c r="L12" s="67" t="s">
        <v>159</v>
      </c>
      <c r="M12" s="67">
        <f t="shared" si="2"/>
        <v>4125</v>
      </c>
      <c r="N12" s="63">
        <f t="shared" si="3"/>
        <v>1375</v>
      </c>
      <c r="O12" s="63"/>
      <c r="P12" s="63"/>
      <c r="Q12" s="63"/>
      <c r="R12" s="63"/>
      <c r="S12" s="63"/>
      <c r="T12" s="63"/>
      <c r="U12" s="63"/>
      <c r="V12" s="63"/>
      <c r="W12" s="63"/>
      <c r="X12" s="63"/>
      <c r="Y12" s="63"/>
      <c r="Z12" s="63"/>
      <c r="AA12" s="63"/>
      <c r="AB12" s="63"/>
      <c r="AC12" s="63"/>
      <c r="AD12" s="63"/>
      <c r="AE12" s="63"/>
      <c r="AF12" s="63"/>
      <c r="AG12" s="63"/>
    </row>
    <row r="13" spans="1:33" ht="15" customHeight="1">
      <c r="A13" s="63">
        <v>12</v>
      </c>
      <c r="B13" s="64" t="s">
        <v>170</v>
      </c>
      <c r="C13" s="67">
        <v>8000</v>
      </c>
      <c r="D13" s="64"/>
      <c r="E13" s="64"/>
      <c r="F13" s="67">
        <v>0</v>
      </c>
      <c r="G13" s="67">
        <v>151</v>
      </c>
      <c r="H13" s="65">
        <v>1750</v>
      </c>
      <c r="I13" s="68">
        <f t="shared" si="0"/>
        <v>1901</v>
      </c>
      <c r="J13" s="68">
        <f t="shared" si="1"/>
        <v>3599</v>
      </c>
      <c r="K13" s="65">
        <v>5500</v>
      </c>
      <c r="L13" s="67" t="s">
        <v>159</v>
      </c>
      <c r="M13" s="67">
        <f t="shared" si="2"/>
        <v>4125</v>
      </c>
      <c r="N13" s="63">
        <f t="shared" si="3"/>
        <v>1375</v>
      </c>
      <c r="O13" s="63"/>
      <c r="P13" s="63"/>
      <c r="Q13" s="63"/>
      <c r="R13" s="63"/>
      <c r="S13" s="63"/>
      <c r="T13" s="63"/>
      <c r="U13" s="63"/>
      <c r="V13" s="63"/>
      <c r="W13" s="63"/>
      <c r="X13" s="63"/>
      <c r="Y13" s="63"/>
      <c r="Z13" s="63"/>
      <c r="AA13" s="63"/>
      <c r="AB13" s="63"/>
      <c r="AC13" s="63"/>
      <c r="AD13" s="63"/>
      <c r="AE13" s="63"/>
      <c r="AF13" s="63"/>
      <c r="AG13" s="63"/>
    </row>
    <row r="14" spans="1:33" ht="15" customHeight="1">
      <c r="A14" s="67">
        <v>13</v>
      </c>
      <c r="B14" s="64" t="s">
        <v>171</v>
      </c>
      <c r="C14" s="67">
        <v>8000</v>
      </c>
      <c r="D14" s="64"/>
      <c r="E14" s="64"/>
      <c r="F14" s="67">
        <v>0</v>
      </c>
      <c r="G14" s="67">
        <v>146</v>
      </c>
      <c r="H14" s="65">
        <v>1750</v>
      </c>
      <c r="I14" s="68">
        <f t="shared" si="0"/>
        <v>1896</v>
      </c>
      <c r="J14" s="68">
        <f t="shared" si="1"/>
        <v>3604</v>
      </c>
      <c r="K14" s="65">
        <v>5500</v>
      </c>
      <c r="L14" s="67" t="s">
        <v>159</v>
      </c>
      <c r="M14" s="67">
        <f t="shared" si="2"/>
        <v>4125</v>
      </c>
      <c r="N14" s="63">
        <f t="shared" si="3"/>
        <v>1375</v>
      </c>
      <c r="O14" s="63"/>
      <c r="P14" s="63"/>
      <c r="Q14" s="63"/>
      <c r="R14" s="63"/>
      <c r="S14" s="63"/>
      <c r="T14" s="63"/>
      <c r="U14" s="63"/>
      <c r="V14" s="63"/>
      <c r="W14" s="63"/>
      <c r="X14" s="63"/>
      <c r="Y14" s="63"/>
      <c r="Z14" s="63"/>
      <c r="AA14" s="63"/>
      <c r="AB14" s="63"/>
      <c r="AC14" s="63"/>
      <c r="AD14" s="63"/>
      <c r="AE14" s="63"/>
      <c r="AF14" s="63"/>
      <c r="AG14" s="63"/>
    </row>
    <row r="15" spans="1:33" ht="15" customHeight="1">
      <c r="A15" s="67">
        <v>14</v>
      </c>
      <c r="B15" s="64" t="s">
        <v>172</v>
      </c>
      <c r="C15" s="67">
        <v>8000</v>
      </c>
      <c r="D15" s="64"/>
      <c r="E15" s="64"/>
      <c r="F15" s="67">
        <v>0</v>
      </c>
      <c r="G15" s="67">
        <v>134</v>
      </c>
      <c r="H15" s="65">
        <v>1750</v>
      </c>
      <c r="I15" s="68">
        <f t="shared" si="0"/>
        <v>1884</v>
      </c>
      <c r="J15" s="68">
        <f t="shared" si="1"/>
        <v>3616</v>
      </c>
      <c r="K15" s="65">
        <v>5500</v>
      </c>
      <c r="L15" s="67" t="s">
        <v>159</v>
      </c>
      <c r="M15" s="67">
        <f t="shared" si="2"/>
        <v>4125</v>
      </c>
      <c r="N15" s="63">
        <f t="shared" si="3"/>
        <v>1375</v>
      </c>
      <c r="O15" s="63"/>
      <c r="P15" s="63"/>
      <c r="Q15" s="63"/>
      <c r="R15" s="63"/>
      <c r="S15" s="63"/>
      <c r="T15" s="63"/>
      <c r="U15" s="63"/>
      <c r="V15" s="63"/>
      <c r="W15" s="63"/>
      <c r="X15" s="63"/>
      <c r="Y15" s="63"/>
      <c r="Z15" s="63"/>
      <c r="AA15" s="63"/>
      <c r="AB15" s="63"/>
      <c r="AC15" s="63"/>
      <c r="AD15" s="63"/>
      <c r="AE15" s="63"/>
      <c r="AF15" s="63"/>
      <c r="AG15" s="63"/>
    </row>
    <row r="16" spans="1:33" ht="15" customHeight="1">
      <c r="A16" s="67">
        <v>15</v>
      </c>
      <c r="B16" s="64" t="s">
        <v>173</v>
      </c>
      <c r="C16" s="67">
        <v>8000</v>
      </c>
      <c r="D16" s="64"/>
      <c r="E16" s="64"/>
      <c r="F16" s="67">
        <v>0</v>
      </c>
      <c r="G16" s="67">
        <v>141</v>
      </c>
      <c r="H16" s="65">
        <v>1750</v>
      </c>
      <c r="I16" s="68">
        <f t="shared" si="0"/>
        <v>1891</v>
      </c>
      <c r="J16" s="68">
        <f t="shared" si="1"/>
        <v>3609</v>
      </c>
      <c r="K16" s="65">
        <v>5500</v>
      </c>
      <c r="L16" s="67" t="s">
        <v>159</v>
      </c>
      <c r="M16" s="67">
        <f t="shared" si="2"/>
        <v>4125</v>
      </c>
      <c r="N16" s="63">
        <f t="shared" si="3"/>
        <v>1375</v>
      </c>
      <c r="O16" s="63"/>
      <c r="P16" s="63"/>
      <c r="Q16" s="63"/>
      <c r="R16" s="63"/>
      <c r="S16" s="63"/>
      <c r="T16" s="63"/>
      <c r="U16" s="63"/>
      <c r="V16" s="63"/>
      <c r="W16" s="63"/>
      <c r="X16" s="63"/>
      <c r="Y16" s="63"/>
      <c r="Z16" s="63"/>
      <c r="AA16" s="63"/>
      <c r="AB16" s="63"/>
      <c r="AC16" s="63"/>
      <c r="AD16" s="63"/>
      <c r="AE16" s="63"/>
      <c r="AF16" s="63"/>
      <c r="AG16" s="63"/>
    </row>
    <row r="17" spans="1:33" ht="15" customHeight="1">
      <c r="A17" s="67">
        <v>16</v>
      </c>
      <c r="B17" s="64" t="s">
        <v>174</v>
      </c>
      <c r="C17" s="67">
        <v>8000</v>
      </c>
      <c r="D17" s="64"/>
      <c r="E17" s="64"/>
      <c r="F17" s="67">
        <v>0</v>
      </c>
      <c r="G17" s="67">
        <v>136</v>
      </c>
      <c r="H17" s="65">
        <v>1750</v>
      </c>
      <c r="I17" s="68">
        <f t="shared" si="0"/>
        <v>1886</v>
      </c>
      <c r="J17" s="68">
        <f t="shared" si="1"/>
        <v>3614</v>
      </c>
      <c r="K17" s="65">
        <v>5500</v>
      </c>
      <c r="L17" s="67" t="s">
        <v>159</v>
      </c>
      <c r="M17" s="67">
        <f t="shared" si="2"/>
        <v>4125</v>
      </c>
      <c r="N17" s="63">
        <f t="shared" si="3"/>
        <v>1375</v>
      </c>
      <c r="O17" s="63"/>
      <c r="P17" s="63"/>
      <c r="Q17" s="63"/>
      <c r="R17" s="63"/>
      <c r="S17" s="63"/>
      <c r="T17" s="63"/>
      <c r="U17" s="63"/>
      <c r="V17" s="63"/>
      <c r="W17" s="63"/>
      <c r="X17" s="63"/>
      <c r="Y17" s="63"/>
      <c r="Z17" s="63"/>
      <c r="AA17" s="63"/>
      <c r="AB17" s="63"/>
      <c r="AC17" s="63"/>
      <c r="AD17" s="63"/>
      <c r="AE17" s="63"/>
      <c r="AF17" s="63"/>
      <c r="AG17" s="63"/>
    </row>
    <row r="18" spans="1:33" ht="15" customHeight="1">
      <c r="A18" s="63">
        <v>17</v>
      </c>
      <c r="B18" s="64" t="s">
        <v>175</v>
      </c>
      <c r="C18" s="67">
        <v>8000</v>
      </c>
      <c r="D18" s="64"/>
      <c r="E18" s="64"/>
      <c r="F18" s="67">
        <v>0</v>
      </c>
      <c r="G18" s="67">
        <v>151</v>
      </c>
      <c r="H18" s="65">
        <v>1750</v>
      </c>
      <c r="I18" s="68">
        <f t="shared" si="0"/>
        <v>1901</v>
      </c>
      <c r="J18" s="68">
        <f t="shared" si="1"/>
        <v>3599</v>
      </c>
      <c r="K18" s="65">
        <v>5500</v>
      </c>
      <c r="L18" s="67" t="s">
        <v>159</v>
      </c>
      <c r="M18" s="67">
        <f t="shared" si="2"/>
        <v>4125</v>
      </c>
      <c r="N18" s="63">
        <f t="shared" si="3"/>
        <v>1375</v>
      </c>
      <c r="O18" s="63"/>
      <c r="P18" s="63"/>
      <c r="Q18" s="63"/>
      <c r="R18" s="63"/>
      <c r="S18" s="63"/>
      <c r="T18" s="63"/>
      <c r="U18" s="63"/>
      <c r="V18" s="63"/>
      <c r="W18" s="63"/>
      <c r="X18" s="63"/>
      <c r="Y18" s="63"/>
      <c r="Z18" s="63"/>
      <c r="AA18" s="63"/>
      <c r="AB18" s="63"/>
      <c r="AC18" s="63"/>
      <c r="AD18" s="63"/>
      <c r="AE18" s="63"/>
      <c r="AF18" s="63"/>
      <c r="AG18" s="63"/>
    </row>
    <row r="19" spans="1:33" ht="15" customHeight="1">
      <c r="A19" s="90">
        <v>18</v>
      </c>
      <c r="B19" s="91" t="s">
        <v>176</v>
      </c>
      <c r="C19" s="92">
        <v>10000</v>
      </c>
      <c r="D19" s="91"/>
      <c r="E19" s="91"/>
      <c r="F19" s="90">
        <v>0</v>
      </c>
      <c r="G19" s="90">
        <v>3156</v>
      </c>
      <c r="H19" s="65">
        <v>1750</v>
      </c>
      <c r="I19" s="90">
        <f t="shared" si="0"/>
        <v>4906</v>
      </c>
      <c r="J19" s="90">
        <f t="shared" si="1"/>
        <v>2594</v>
      </c>
      <c r="K19" s="92">
        <v>7500</v>
      </c>
      <c r="L19" s="90" t="s">
        <v>159</v>
      </c>
      <c r="M19" s="90">
        <f t="shared" si="2"/>
        <v>5625</v>
      </c>
      <c r="N19" s="93">
        <f t="shared" si="3"/>
        <v>1875</v>
      </c>
      <c r="O19" s="93"/>
      <c r="P19" s="93"/>
      <c r="Q19" s="93"/>
      <c r="R19" s="93"/>
      <c r="S19" s="93"/>
      <c r="T19" s="93"/>
      <c r="U19" s="93"/>
      <c r="V19" s="93"/>
      <c r="W19" s="93"/>
      <c r="X19" s="93"/>
      <c r="Y19" s="93"/>
      <c r="Z19" s="93"/>
      <c r="AA19" s="93"/>
      <c r="AB19" s="93"/>
      <c r="AC19" s="93"/>
      <c r="AD19" s="93"/>
      <c r="AE19" s="93"/>
      <c r="AF19" s="93"/>
      <c r="AG19" s="93"/>
    </row>
    <row r="20" spans="1:33" ht="15" customHeight="1">
      <c r="A20" s="69">
        <v>19</v>
      </c>
      <c r="B20" s="71" t="s">
        <v>177</v>
      </c>
      <c r="C20" s="94">
        <v>8000</v>
      </c>
      <c r="D20" s="71"/>
      <c r="E20" s="71"/>
      <c r="F20" s="69">
        <v>0</v>
      </c>
      <c r="G20" s="69">
        <v>1656</v>
      </c>
      <c r="H20" s="65">
        <v>1750</v>
      </c>
      <c r="I20" s="69">
        <f t="shared" si="0"/>
        <v>3406</v>
      </c>
      <c r="J20" s="69">
        <f t="shared" si="1"/>
        <v>2094</v>
      </c>
      <c r="K20" s="94">
        <v>5500</v>
      </c>
      <c r="L20" s="69" t="s">
        <v>159</v>
      </c>
      <c r="M20" s="69">
        <f t="shared" si="2"/>
        <v>4125</v>
      </c>
      <c r="N20" s="72">
        <f t="shared" si="3"/>
        <v>1375</v>
      </c>
      <c r="O20" s="72"/>
      <c r="P20" s="72"/>
      <c r="Q20" s="72"/>
      <c r="R20" s="72"/>
      <c r="S20" s="72"/>
      <c r="T20" s="72"/>
      <c r="U20" s="72"/>
      <c r="V20" s="72"/>
      <c r="W20" s="72"/>
      <c r="X20" s="72"/>
      <c r="Y20" s="72"/>
      <c r="Z20" s="72"/>
      <c r="AA20" s="72"/>
      <c r="AB20" s="72"/>
      <c r="AC20" s="72"/>
      <c r="AD20" s="72"/>
      <c r="AE20" s="72"/>
      <c r="AF20" s="72"/>
      <c r="AG20" s="72"/>
    </row>
    <row r="21" spans="1:33" ht="15" customHeight="1">
      <c r="A21" s="90">
        <v>20</v>
      </c>
      <c r="B21" s="91" t="s">
        <v>178</v>
      </c>
      <c r="C21" s="92">
        <v>15000</v>
      </c>
      <c r="D21" s="91"/>
      <c r="E21" s="91"/>
      <c r="F21" s="90">
        <v>0</v>
      </c>
      <c r="G21" s="90">
        <v>7681</v>
      </c>
      <c r="H21" s="65">
        <v>1750</v>
      </c>
      <c r="I21" s="90">
        <f t="shared" si="0"/>
        <v>9431</v>
      </c>
      <c r="J21" s="90">
        <f t="shared" si="1"/>
        <v>3069</v>
      </c>
      <c r="K21" s="92">
        <v>12500</v>
      </c>
      <c r="L21" s="90" t="s">
        <v>159</v>
      </c>
      <c r="M21" s="90">
        <f t="shared" si="2"/>
        <v>9375</v>
      </c>
      <c r="N21" s="93">
        <f t="shared" si="3"/>
        <v>3125</v>
      </c>
      <c r="O21" s="93"/>
      <c r="P21" s="93"/>
      <c r="Q21" s="93"/>
      <c r="R21" s="93"/>
      <c r="S21" s="93"/>
      <c r="T21" s="93"/>
      <c r="U21" s="93"/>
      <c r="V21" s="93"/>
      <c r="W21" s="93"/>
      <c r="X21" s="93"/>
      <c r="Y21" s="93"/>
      <c r="Z21" s="93"/>
      <c r="AA21" s="93"/>
      <c r="AB21" s="93"/>
      <c r="AC21" s="93"/>
      <c r="AD21" s="93"/>
      <c r="AE21" s="93"/>
      <c r="AF21" s="93"/>
      <c r="AG21" s="93"/>
    </row>
    <row r="22" spans="1:33" ht="15" customHeight="1">
      <c r="A22" s="67">
        <v>21</v>
      </c>
      <c r="B22" s="64" t="s">
        <v>179</v>
      </c>
      <c r="C22" s="65">
        <v>8000</v>
      </c>
      <c r="D22" s="64"/>
      <c r="E22" s="64"/>
      <c r="F22" s="67">
        <v>0</v>
      </c>
      <c r="G22" s="67">
        <v>231</v>
      </c>
      <c r="H22" s="65">
        <v>1750</v>
      </c>
      <c r="I22" s="68">
        <f t="shared" si="0"/>
        <v>1981</v>
      </c>
      <c r="J22" s="68">
        <f t="shared" si="1"/>
        <v>3519</v>
      </c>
      <c r="K22" s="65">
        <v>5500</v>
      </c>
      <c r="L22" s="67" t="s">
        <v>159</v>
      </c>
      <c r="M22" s="67">
        <f t="shared" si="2"/>
        <v>4125</v>
      </c>
      <c r="N22" s="63">
        <f t="shared" si="3"/>
        <v>1375</v>
      </c>
      <c r="O22" s="63"/>
      <c r="P22" s="63"/>
      <c r="Q22" s="63"/>
      <c r="R22" s="63"/>
      <c r="S22" s="63"/>
      <c r="T22" s="63"/>
      <c r="U22" s="63"/>
      <c r="V22" s="63"/>
      <c r="W22" s="63"/>
      <c r="X22" s="63"/>
      <c r="Y22" s="63"/>
      <c r="Z22" s="63"/>
      <c r="AA22" s="63"/>
      <c r="AB22" s="63"/>
      <c r="AC22" s="63"/>
      <c r="AD22" s="63"/>
      <c r="AE22" s="63"/>
      <c r="AF22" s="63"/>
      <c r="AG22" s="63"/>
    </row>
    <row r="23" spans="1:33" ht="15" customHeight="1">
      <c r="A23" s="63">
        <v>22</v>
      </c>
      <c r="B23" s="64" t="s">
        <v>180</v>
      </c>
      <c r="C23" s="67">
        <v>8000</v>
      </c>
      <c r="D23" s="64"/>
      <c r="E23" s="64"/>
      <c r="F23" s="67">
        <v>0</v>
      </c>
      <c r="G23" s="67">
        <v>391</v>
      </c>
      <c r="H23" s="65">
        <v>1750</v>
      </c>
      <c r="I23" s="68">
        <f t="shared" si="0"/>
        <v>2141</v>
      </c>
      <c r="J23" s="68">
        <f t="shared" si="1"/>
        <v>3359</v>
      </c>
      <c r="K23" s="65">
        <v>5500</v>
      </c>
      <c r="L23" s="67" t="s">
        <v>159</v>
      </c>
      <c r="M23" s="67">
        <f t="shared" si="2"/>
        <v>4125</v>
      </c>
      <c r="N23" s="63">
        <f t="shared" si="3"/>
        <v>1375</v>
      </c>
      <c r="O23" s="63"/>
      <c r="P23" s="63"/>
      <c r="Q23" s="63"/>
      <c r="R23" s="63"/>
      <c r="S23" s="63"/>
      <c r="T23" s="63"/>
      <c r="U23" s="63"/>
      <c r="V23" s="63"/>
      <c r="W23" s="63"/>
      <c r="X23" s="63"/>
      <c r="Y23" s="63"/>
      <c r="Z23" s="63"/>
      <c r="AA23" s="63"/>
      <c r="AB23" s="63"/>
      <c r="AC23" s="63"/>
      <c r="AD23" s="63"/>
      <c r="AE23" s="63"/>
      <c r="AF23" s="63"/>
      <c r="AG23" s="63"/>
    </row>
    <row r="24" spans="1:33" ht="15" customHeight="1">
      <c r="A24" s="67">
        <v>23</v>
      </c>
      <c r="B24" s="64" t="s">
        <v>181</v>
      </c>
      <c r="C24" s="67">
        <v>8000</v>
      </c>
      <c r="D24" s="64"/>
      <c r="E24" s="64"/>
      <c r="F24" s="67">
        <v>0</v>
      </c>
      <c r="G24" s="67">
        <v>541</v>
      </c>
      <c r="H24" s="65">
        <v>1750</v>
      </c>
      <c r="I24" s="68">
        <f t="shared" si="0"/>
        <v>2291</v>
      </c>
      <c r="J24" s="68">
        <f t="shared" si="1"/>
        <v>3209</v>
      </c>
      <c r="K24" s="65">
        <v>5500</v>
      </c>
      <c r="L24" s="67" t="s">
        <v>159</v>
      </c>
      <c r="M24" s="67">
        <f t="shared" si="2"/>
        <v>4125</v>
      </c>
      <c r="N24" s="63">
        <f t="shared" si="3"/>
        <v>1375</v>
      </c>
      <c r="O24" s="63"/>
      <c r="P24" s="63"/>
      <c r="Q24" s="63"/>
      <c r="R24" s="63"/>
      <c r="S24" s="63"/>
      <c r="T24" s="63"/>
      <c r="U24" s="63"/>
      <c r="V24" s="63"/>
      <c r="W24" s="63"/>
      <c r="X24" s="63"/>
      <c r="Y24" s="63"/>
      <c r="Z24" s="63"/>
      <c r="AA24" s="63"/>
      <c r="AB24" s="63"/>
      <c r="AC24" s="63"/>
      <c r="AD24" s="63"/>
      <c r="AE24" s="63"/>
      <c r="AF24" s="63"/>
      <c r="AG24" s="63"/>
    </row>
    <row r="25" spans="1:33" ht="15" customHeight="1">
      <c r="A25" s="67">
        <v>24</v>
      </c>
      <c r="B25" s="64" t="s">
        <v>182</v>
      </c>
      <c r="C25" s="67">
        <v>8000</v>
      </c>
      <c r="D25" s="64"/>
      <c r="E25" s="64"/>
      <c r="F25" s="67">
        <v>0</v>
      </c>
      <c r="G25" s="67">
        <v>391</v>
      </c>
      <c r="H25" s="65">
        <v>1750</v>
      </c>
      <c r="I25" s="68">
        <f t="shared" si="0"/>
        <v>2141</v>
      </c>
      <c r="J25" s="68">
        <f t="shared" si="1"/>
        <v>3359</v>
      </c>
      <c r="K25" s="65">
        <v>5500</v>
      </c>
      <c r="L25" s="67" t="s">
        <v>159</v>
      </c>
      <c r="M25" s="67">
        <f t="shared" si="2"/>
        <v>4125</v>
      </c>
      <c r="N25" s="63">
        <f t="shared" si="3"/>
        <v>1375</v>
      </c>
      <c r="O25" s="63"/>
      <c r="P25" s="63"/>
      <c r="Q25" s="63"/>
      <c r="R25" s="63"/>
      <c r="S25" s="63"/>
      <c r="T25" s="63"/>
      <c r="U25" s="63"/>
      <c r="V25" s="63"/>
      <c r="W25" s="63"/>
      <c r="X25" s="63"/>
      <c r="Y25" s="63"/>
      <c r="Z25" s="63"/>
      <c r="AA25" s="63"/>
      <c r="AB25" s="63"/>
      <c r="AC25" s="63"/>
      <c r="AD25" s="63"/>
      <c r="AE25" s="63"/>
      <c r="AF25" s="63"/>
      <c r="AG25" s="63"/>
    </row>
    <row r="26" spans="1:33" ht="15" customHeight="1">
      <c r="A26" s="67">
        <v>25</v>
      </c>
      <c r="B26" s="64" t="s">
        <v>183</v>
      </c>
      <c r="C26" s="67">
        <v>8000</v>
      </c>
      <c r="D26" s="64"/>
      <c r="E26" s="64"/>
      <c r="F26" s="67">
        <v>0</v>
      </c>
      <c r="G26" s="67">
        <v>391</v>
      </c>
      <c r="H26" s="65">
        <v>1750</v>
      </c>
      <c r="I26" s="68">
        <f t="shared" si="0"/>
        <v>2141</v>
      </c>
      <c r="J26" s="68">
        <f t="shared" si="1"/>
        <v>3359</v>
      </c>
      <c r="K26" s="65">
        <v>5500</v>
      </c>
      <c r="L26" s="67" t="s">
        <v>159</v>
      </c>
      <c r="M26" s="67">
        <f t="shared" si="2"/>
        <v>4125</v>
      </c>
      <c r="N26" s="63">
        <f t="shared" si="3"/>
        <v>1375</v>
      </c>
      <c r="O26" s="63"/>
      <c r="P26" s="63"/>
      <c r="Q26" s="63"/>
      <c r="R26" s="63"/>
      <c r="S26" s="63"/>
      <c r="T26" s="63"/>
      <c r="U26" s="63"/>
      <c r="V26" s="63"/>
      <c r="W26" s="63"/>
      <c r="X26" s="63"/>
      <c r="Y26" s="63"/>
      <c r="Z26" s="63"/>
      <c r="AA26" s="63"/>
      <c r="AB26" s="63"/>
      <c r="AC26" s="63"/>
      <c r="AD26" s="63"/>
      <c r="AE26" s="63"/>
      <c r="AF26" s="63"/>
      <c r="AG26" s="63"/>
    </row>
    <row r="27" spans="1:33" ht="15" customHeight="1">
      <c r="A27" s="67">
        <v>26</v>
      </c>
      <c r="B27" s="64" t="s">
        <v>184</v>
      </c>
      <c r="C27" s="67">
        <v>8000</v>
      </c>
      <c r="D27" s="64"/>
      <c r="E27" s="64"/>
      <c r="F27" s="67">
        <v>0</v>
      </c>
      <c r="G27" s="67">
        <v>741</v>
      </c>
      <c r="H27" s="65">
        <v>1750</v>
      </c>
      <c r="I27" s="68">
        <f t="shared" si="0"/>
        <v>2491</v>
      </c>
      <c r="J27" s="68">
        <f t="shared" si="1"/>
        <v>3009</v>
      </c>
      <c r="K27" s="65">
        <v>5500</v>
      </c>
      <c r="L27" s="67" t="s">
        <v>159</v>
      </c>
      <c r="M27" s="67">
        <f t="shared" si="2"/>
        <v>4125</v>
      </c>
      <c r="N27" s="63">
        <f t="shared" si="3"/>
        <v>1375</v>
      </c>
      <c r="O27" s="63"/>
      <c r="P27" s="63"/>
      <c r="Q27" s="63"/>
      <c r="R27" s="63"/>
      <c r="S27" s="63"/>
      <c r="T27" s="63"/>
      <c r="U27" s="63"/>
      <c r="V27" s="63"/>
      <c r="W27" s="63"/>
      <c r="X27" s="63"/>
      <c r="Y27" s="63"/>
      <c r="Z27" s="63"/>
      <c r="AA27" s="63"/>
      <c r="AB27" s="63"/>
      <c r="AC27" s="63"/>
      <c r="AD27" s="63"/>
      <c r="AE27" s="63"/>
      <c r="AF27" s="63"/>
      <c r="AG27" s="63"/>
    </row>
    <row r="28" spans="1:33" ht="15.75" customHeight="1">
      <c r="A28" s="63">
        <v>27</v>
      </c>
      <c r="B28" s="64" t="s">
        <v>185</v>
      </c>
      <c r="C28" s="67">
        <v>8000</v>
      </c>
      <c r="D28" s="64"/>
      <c r="E28" s="64"/>
      <c r="F28" s="67">
        <v>0</v>
      </c>
      <c r="G28" s="67">
        <v>141</v>
      </c>
      <c r="H28" s="65">
        <v>1750</v>
      </c>
      <c r="I28" s="68">
        <f t="shared" si="0"/>
        <v>1891</v>
      </c>
      <c r="J28" s="68">
        <f t="shared" si="1"/>
        <v>3609</v>
      </c>
      <c r="K28" s="65">
        <v>5500</v>
      </c>
      <c r="L28" s="67" t="s">
        <v>159</v>
      </c>
      <c r="M28" s="67">
        <f t="shared" si="2"/>
        <v>4125</v>
      </c>
      <c r="N28" s="63">
        <f t="shared" si="3"/>
        <v>1375</v>
      </c>
      <c r="O28" s="63"/>
      <c r="P28" s="63"/>
      <c r="Q28" s="63"/>
      <c r="R28" s="63"/>
      <c r="S28" s="63"/>
      <c r="T28" s="63"/>
      <c r="U28" s="63"/>
      <c r="V28" s="63"/>
      <c r="W28" s="63"/>
      <c r="X28" s="63"/>
      <c r="Y28" s="63"/>
      <c r="Z28" s="63"/>
      <c r="AA28" s="63"/>
      <c r="AB28" s="63"/>
      <c r="AC28" s="63"/>
      <c r="AD28" s="63"/>
      <c r="AE28" s="63"/>
      <c r="AF28" s="63"/>
      <c r="AG28" s="63"/>
    </row>
    <row r="29" spans="1:33" ht="15.75" customHeight="1">
      <c r="A29" s="67">
        <v>28</v>
      </c>
      <c r="B29" s="64" t="s">
        <v>186</v>
      </c>
      <c r="C29" s="67">
        <v>8000</v>
      </c>
      <c r="D29" s="64"/>
      <c r="E29" s="64"/>
      <c r="F29" s="67">
        <v>0</v>
      </c>
      <c r="G29" s="67">
        <v>156</v>
      </c>
      <c r="H29" s="65">
        <v>1750</v>
      </c>
      <c r="I29" s="68">
        <f t="shared" si="0"/>
        <v>1906</v>
      </c>
      <c r="J29" s="68">
        <f t="shared" si="1"/>
        <v>3594</v>
      </c>
      <c r="K29" s="65">
        <v>5500</v>
      </c>
      <c r="L29" s="67" t="s">
        <v>159</v>
      </c>
      <c r="M29" s="67">
        <f t="shared" si="2"/>
        <v>4125</v>
      </c>
      <c r="N29" s="63">
        <f t="shared" si="3"/>
        <v>1375</v>
      </c>
      <c r="O29" s="63"/>
      <c r="P29" s="63"/>
      <c r="Q29" s="63"/>
      <c r="R29" s="63"/>
      <c r="S29" s="63"/>
      <c r="T29" s="63"/>
      <c r="U29" s="63"/>
      <c r="V29" s="63"/>
      <c r="W29" s="63"/>
      <c r="X29" s="63"/>
      <c r="Y29" s="63"/>
      <c r="Z29" s="63"/>
      <c r="AA29" s="63"/>
      <c r="AB29" s="63"/>
      <c r="AC29" s="63"/>
      <c r="AD29" s="63"/>
      <c r="AE29" s="63"/>
      <c r="AF29" s="63"/>
      <c r="AG29" s="63"/>
    </row>
    <row r="30" spans="1:33" ht="15.75" customHeight="1">
      <c r="A30" s="77">
        <v>29</v>
      </c>
      <c r="B30" s="75" t="s">
        <v>187</v>
      </c>
      <c r="C30" s="76">
        <v>13500</v>
      </c>
      <c r="D30" s="75"/>
      <c r="E30" s="75"/>
      <c r="F30" s="77">
        <v>0</v>
      </c>
      <c r="G30" s="76">
        <v>5653</v>
      </c>
      <c r="H30" s="76">
        <v>1750</v>
      </c>
      <c r="I30" s="77">
        <f t="shared" si="0"/>
        <v>7403</v>
      </c>
      <c r="J30" s="77">
        <f t="shared" si="1"/>
        <v>4097</v>
      </c>
      <c r="K30" s="76">
        <v>11500</v>
      </c>
      <c r="L30" s="77" t="s">
        <v>159</v>
      </c>
      <c r="M30" s="77">
        <f t="shared" si="2"/>
        <v>8625</v>
      </c>
      <c r="N30" s="74">
        <f t="shared" si="3"/>
        <v>2875</v>
      </c>
      <c r="O30" s="74"/>
      <c r="P30" s="74"/>
      <c r="Q30" s="74"/>
      <c r="R30" s="74"/>
      <c r="S30" s="74"/>
      <c r="T30" s="74"/>
      <c r="U30" s="74"/>
      <c r="V30" s="74"/>
      <c r="W30" s="74"/>
      <c r="X30" s="74"/>
      <c r="Y30" s="74"/>
      <c r="Z30" s="74"/>
      <c r="AA30" s="74"/>
      <c r="AB30" s="74"/>
      <c r="AC30" s="74"/>
      <c r="AD30" s="74"/>
      <c r="AE30" s="74"/>
      <c r="AF30" s="74"/>
      <c r="AG30" s="74"/>
    </row>
    <row r="31" spans="1:33" ht="15.75" customHeight="1">
      <c r="A31" s="67">
        <v>30</v>
      </c>
      <c r="B31" s="64" t="s">
        <v>188</v>
      </c>
      <c r="C31" s="65">
        <v>8000</v>
      </c>
      <c r="D31" s="64"/>
      <c r="E31" s="64"/>
      <c r="F31" s="67">
        <v>0</v>
      </c>
      <c r="G31" s="67">
        <v>131</v>
      </c>
      <c r="H31" s="65">
        <v>1750</v>
      </c>
      <c r="I31" s="68">
        <f t="shared" si="0"/>
        <v>1881</v>
      </c>
      <c r="J31" s="68">
        <f t="shared" si="1"/>
        <v>3619</v>
      </c>
      <c r="K31" s="65">
        <v>5500</v>
      </c>
      <c r="L31" s="67" t="s">
        <v>159</v>
      </c>
      <c r="M31" s="67">
        <f t="shared" si="2"/>
        <v>4125</v>
      </c>
      <c r="N31" s="63">
        <f t="shared" si="3"/>
        <v>1375</v>
      </c>
      <c r="O31" s="63"/>
      <c r="P31" s="63"/>
      <c r="Q31" s="63"/>
      <c r="R31" s="63"/>
      <c r="S31" s="63"/>
      <c r="T31" s="63"/>
      <c r="U31" s="63"/>
      <c r="V31" s="63"/>
      <c r="W31" s="63"/>
      <c r="X31" s="63"/>
      <c r="Y31" s="63"/>
      <c r="Z31" s="63"/>
      <c r="AA31" s="63"/>
      <c r="AB31" s="63"/>
      <c r="AC31" s="63"/>
      <c r="AD31" s="63"/>
      <c r="AE31" s="63"/>
      <c r="AF31" s="63"/>
      <c r="AG31" s="63"/>
    </row>
    <row r="32" spans="1:33" ht="15.75" customHeight="1">
      <c r="A32" s="67">
        <v>31</v>
      </c>
      <c r="B32" s="64" t="s">
        <v>189</v>
      </c>
      <c r="C32" s="67">
        <v>8000</v>
      </c>
      <c r="D32" s="64"/>
      <c r="E32" s="64"/>
      <c r="F32" s="67">
        <v>0</v>
      </c>
      <c r="G32" s="67">
        <v>151</v>
      </c>
      <c r="H32" s="65">
        <v>1750</v>
      </c>
      <c r="I32" s="68">
        <f t="shared" si="0"/>
        <v>1901</v>
      </c>
      <c r="J32" s="68">
        <f t="shared" si="1"/>
        <v>3599</v>
      </c>
      <c r="K32" s="65">
        <v>5500</v>
      </c>
      <c r="L32" s="67" t="s">
        <v>159</v>
      </c>
      <c r="M32" s="67">
        <f t="shared" si="2"/>
        <v>4125</v>
      </c>
      <c r="N32" s="63">
        <f t="shared" si="3"/>
        <v>1375</v>
      </c>
      <c r="O32" s="63"/>
      <c r="P32" s="63"/>
      <c r="Q32" s="63"/>
      <c r="R32" s="63"/>
      <c r="S32" s="63"/>
      <c r="T32" s="63"/>
      <c r="U32" s="63"/>
      <c r="V32" s="63"/>
      <c r="W32" s="63"/>
      <c r="X32" s="63"/>
      <c r="Y32" s="63"/>
      <c r="Z32" s="63"/>
      <c r="AA32" s="63"/>
      <c r="AB32" s="63"/>
      <c r="AC32" s="63"/>
      <c r="AD32" s="63"/>
      <c r="AE32" s="63"/>
      <c r="AF32" s="63"/>
      <c r="AG32" s="63"/>
    </row>
    <row r="33" spans="1:33" ht="15.75" customHeight="1">
      <c r="A33" s="72">
        <v>32</v>
      </c>
      <c r="B33" s="71" t="s">
        <v>190</v>
      </c>
      <c r="C33" s="67">
        <v>8000</v>
      </c>
      <c r="D33" s="71"/>
      <c r="E33" s="71"/>
      <c r="F33" s="67">
        <v>0</v>
      </c>
      <c r="G33" s="69">
        <v>1651</v>
      </c>
      <c r="H33" s="65">
        <v>1750</v>
      </c>
      <c r="I33" s="69">
        <f t="shared" si="0"/>
        <v>3401</v>
      </c>
      <c r="J33" s="69">
        <f t="shared" si="1"/>
        <v>2099</v>
      </c>
      <c r="K33" s="65">
        <v>5500</v>
      </c>
      <c r="L33" s="69" t="s">
        <v>159</v>
      </c>
      <c r="M33" s="69">
        <f t="shared" si="2"/>
        <v>4125</v>
      </c>
      <c r="N33" s="72">
        <f t="shared" si="3"/>
        <v>1375</v>
      </c>
      <c r="O33" s="72"/>
      <c r="P33" s="72"/>
      <c r="Q33" s="72"/>
      <c r="R33" s="72"/>
      <c r="S33" s="72"/>
      <c r="T33" s="72"/>
      <c r="U33" s="72"/>
      <c r="V33" s="72"/>
      <c r="W33" s="72"/>
      <c r="X33" s="72"/>
      <c r="Y33" s="72"/>
      <c r="Z33" s="72"/>
      <c r="AA33" s="72"/>
      <c r="AB33" s="72"/>
      <c r="AC33" s="72"/>
      <c r="AD33" s="72"/>
      <c r="AE33" s="72"/>
      <c r="AF33" s="72"/>
      <c r="AG33" s="72"/>
    </row>
    <row r="34" spans="1:33" ht="15.75" customHeight="1">
      <c r="A34" s="67">
        <v>33</v>
      </c>
      <c r="B34" s="64" t="s">
        <v>191</v>
      </c>
      <c r="C34" s="67">
        <v>8000</v>
      </c>
      <c r="D34" s="64"/>
      <c r="E34" s="64"/>
      <c r="F34" s="67">
        <v>0</v>
      </c>
      <c r="G34" s="67">
        <v>391</v>
      </c>
      <c r="H34" s="65">
        <v>1750</v>
      </c>
      <c r="I34" s="68">
        <f t="shared" si="0"/>
        <v>2141</v>
      </c>
      <c r="J34" s="68">
        <f t="shared" si="1"/>
        <v>3359</v>
      </c>
      <c r="K34" s="65">
        <v>5500</v>
      </c>
      <c r="L34" s="67" t="s">
        <v>159</v>
      </c>
      <c r="M34" s="67">
        <f t="shared" si="2"/>
        <v>4125</v>
      </c>
      <c r="N34" s="63">
        <f t="shared" si="3"/>
        <v>1375</v>
      </c>
      <c r="O34" s="63"/>
      <c r="P34" s="63"/>
      <c r="Q34" s="63"/>
      <c r="R34" s="63"/>
      <c r="S34" s="63"/>
      <c r="T34" s="63"/>
      <c r="U34" s="63"/>
      <c r="V34" s="63"/>
      <c r="W34" s="63"/>
      <c r="X34" s="63"/>
      <c r="Y34" s="63"/>
      <c r="Z34" s="63"/>
      <c r="AA34" s="63"/>
      <c r="AB34" s="63"/>
      <c r="AC34" s="63"/>
      <c r="AD34" s="63"/>
      <c r="AE34" s="63"/>
      <c r="AF34" s="63"/>
      <c r="AG34" s="63"/>
    </row>
    <row r="35" spans="1:33" ht="15.75" customHeight="1">
      <c r="A35" s="67">
        <v>34</v>
      </c>
      <c r="B35" s="64" t="s">
        <v>192</v>
      </c>
      <c r="C35" s="67">
        <v>8000</v>
      </c>
      <c r="D35" s="64"/>
      <c r="E35" s="64"/>
      <c r="F35" s="67">
        <v>0</v>
      </c>
      <c r="G35" s="67">
        <v>1141</v>
      </c>
      <c r="H35" s="65">
        <v>1750</v>
      </c>
      <c r="I35" s="67">
        <f t="shared" si="0"/>
        <v>2891</v>
      </c>
      <c r="J35" s="67">
        <f t="shared" si="1"/>
        <v>2609</v>
      </c>
      <c r="K35" s="65">
        <v>5500</v>
      </c>
      <c r="L35" s="67" t="s">
        <v>159</v>
      </c>
      <c r="M35" s="67">
        <f t="shared" si="2"/>
        <v>4125</v>
      </c>
      <c r="N35" s="63">
        <f t="shared" si="3"/>
        <v>1375</v>
      </c>
      <c r="O35" s="63"/>
      <c r="P35" s="63"/>
      <c r="Q35" s="63"/>
      <c r="R35" s="63"/>
      <c r="S35" s="63"/>
      <c r="T35" s="63"/>
      <c r="U35" s="63"/>
      <c r="V35" s="63"/>
      <c r="W35" s="63"/>
      <c r="X35" s="63"/>
      <c r="Y35" s="63"/>
      <c r="Z35" s="63"/>
      <c r="AA35" s="63"/>
      <c r="AB35" s="63"/>
      <c r="AC35" s="63"/>
      <c r="AD35" s="63"/>
      <c r="AE35" s="63"/>
      <c r="AF35" s="63"/>
      <c r="AG35" s="63"/>
    </row>
    <row r="36" spans="1:33" ht="15.75" customHeight="1">
      <c r="A36" s="67">
        <v>35</v>
      </c>
      <c r="B36" s="64" t="s">
        <v>193</v>
      </c>
      <c r="C36" s="67">
        <v>8000</v>
      </c>
      <c r="D36" s="64"/>
      <c r="E36" s="64"/>
      <c r="F36" s="67">
        <v>0</v>
      </c>
      <c r="G36" s="67">
        <v>1141</v>
      </c>
      <c r="H36" s="65">
        <v>1750</v>
      </c>
      <c r="I36" s="67">
        <f t="shared" si="0"/>
        <v>2891</v>
      </c>
      <c r="J36" s="67">
        <f t="shared" si="1"/>
        <v>2609</v>
      </c>
      <c r="K36" s="65">
        <v>5500</v>
      </c>
      <c r="L36" s="67" t="s">
        <v>159</v>
      </c>
      <c r="M36" s="67">
        <f t="shared" si="2"/>
        <v>4125</v>
      </c>
      <c r="N36" s="63">
        <f t="shared" si="3"/>
        <v>1375</v>
      </c>
      <c r="O36" s="63"/>
      <c r="P36" s="63"/>
      <c r="Q36" s="63"/>
      <c r="R36" s="63"/>
      <c r="S36" s="63"/>
      <c r="T36" s="63"/>
      <c r="U36" s="63"/>
      <c r="V36" s="63"/>
      <c r="W36" s="63"/>
      <c r="X36" s="63"/>
      <c r="Y36" s="63"/>
      <c r="Z36" s="63"/>
      <c r="AA36" s="63"/>
      <c r="AB36" s="63"/>
      <c r="AC36" s="63"/>
      <c r="AD36" s="63"/>
      <c r="AE36" s="63"/>
      <c r="AF36" s="63"/>
      <c r="AG36" s="63"/>
    </row>
    <row r="37" spans="1:33" ht="15.75" customHeight="1">
      <c r="A37" s="67">
        <v>36</v>
      </c>
      <c r="B37" s="64" t="s">
        <v>194</v>
      </c>
      <c r="C37" s="67">
        <v>8000</v>
      </c>
      <c r="D37" s="64"/>
      <c r="E37" s="64"/>
      <c r="F37" s="67">
        <v>0</v>
      </c>
      <c r="G37" s="67">
        <v>141</v>
      </c>
      <c r="H37" s="65">
        <v>1750</v>
      </c>
      <c r="I37" s="68">
        <f t="shared" si="0"/>
        <v>1891</v>
      </c>
      <c r="J37" s="68">
        <f t="shared" si="1"/>
        <v>3609</v>
      </c>
      <c r="K37" s="65">
        <v>5500</v>
      </c>
      <c r="L37" s="67" t="s">
        <v>159</v>
      </c>
      <c r="M37" s="67">
        <f t="shared" si="2"/>
        <v>4125</v>
      </c>
      <c r="N37" s="63">
        <f t="shared" si="3"/>
        <v>1375</v>
      </c>
      <c r="O37" s="63"/>
      <c r="P37" s="63"/>
      <c r="Q37" s="63"/>
      <c r="R37" s="63"/>
      <c r="S37" s="63"/>
      <c r="T37" s="63"/>
      <c r="U37" s="63"/>
      <c r="V37" s="63"/>
      <c r="W37" s="63"/>
      <c r="X37" s="63"/>
      <c r="Y37" s="63"/>
      <c r="Z37" s="63"/>
      <c r="AA37" s="63"/>
      <c r="AB37" s="63"/>
      <c r="AC37" s="63"/>
      <c r="AD37" s="63"/>
      <c r="AE37" s="63"/>
      <c r="AF37" s="63"/>
      <c r="AG37" s="63"/>
    </row>
    <row r="38" spans="1:33" ht="15.75" customHeight="1">
      <c r="A38" s="63"/>
      <c r="B38" s="63"/>
      <c r="C38" s="67">
        <v>8000</v>
      </c>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c r="AG38" s="63"/>
    </row>
    <row r="39" spans="1:33" ht="15.75" customHeight="1">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row>
    <row r="40" spans="1:33" ht="15.75" customHeight="1">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c r="AG40" s="63"/>
    </row>
    <row r="41" spans="1:33" ht="15.75" customHeight="1">
      <c r="A41" s="63"/>
      <c r="B41" s="59" t="s">
        <v>206</v>
      </c>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row>
    <row r="42" spans="1:33" ht="15.75" customHeight="1">
      <c r="A42" s="63"/>
      <c r="B42" s="63"/>
      <c r="C42" s="67"/>
      <c r="D42" s="67"/>
      <c r="E42" s="67"/>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c r="AG42" s="63"/>
    </row>
    <row r="43" spans="1:33" ht="15.75" customHeight="1">
      <c r="A43" s="63"/>
      <c r="B43" s="67" t="s">
        <v>207</v>
      </c>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c r="AG43" s="63"/>
    </row>
    <row r="44" spans="1:33" ht="15.75" customHeight="1">
      <c r="A44" s="63"/>
      <c r="B44" s="95" t="s">
        <v>208</v>
      </c>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c r="AG44" s="63"/>
    </row>
    <row r="45" spans="1:33" ht="15.75" customHeight="1">
      <c r="A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c r="AG45" s="63"/>
    </row>
    <row r="46" spans="1:33" ht="15.75" customHeight="1">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c r="AG46" s="63"/>
    </row>
    <row r="47" spans="1:33" ht="15.75" customHeight="1">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c r="AG47" s="63"/>
    </row>
    <row r="48" spans="1:33" ht="15.75" customHeight="1">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row>
    <row r="49" spans="1:33" ht="15.75" customHeight="1">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c r="AG49" s="63"/>
    </row>
    <row r="50" spans="1:33" ht="15.75" customHeight="1">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c r="AG50" s="63"/>
    </row>
    <row r="51" spans="1:33" ht="15.75" customHeight="1">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c r="AG51" s="63"/>
    </row>
    <row r="52" spans="1:33" ht="15.75" customHeight="1">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c r="AG52" s="63"/>
    </row>
    <row r="53" spans="1:33" ht="15.75" customHeight="1">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c r="AG53" s="63"/>
    </row>
    <row r="54" spans="1:33" ht="15.75" customHeight="1">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row>
    <row r="55" spans="1:33" ht="15.75" customHeight="1">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c r="AG55" s="63"/>
    </row>
    <row r="56" spans="1:33" ht="15.75" customHeight="1">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c r="AG56" s="63"/>
    </row>
    <row r="57" spans="1:33" ht="15.75" customHeight="1">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row>
    <row r="58" spans="1:33" ht="15.75" customHeight="1">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c r="AG58" s="63"/>
    </row>
    <row r="59" spans="1:33" ht="15.75" customHeight="1">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c r="AG59" s="63"/>
    </row>
    <row r="60" spans="1:33" ht="15.75" customHeight="1">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c r="AG60" s="63"/>
    </row>
    <row r="61" spans="1:33" ht="15.75" customHeight="1">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c r="AG61" s="63"/>
    </row>
    <row r="62" spans="1:33" ht="15.75" customHeight="1">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c r="AG62" s="63"/>
    </row>
    <row r="63" spans="1:33" ht="15.75" customHeight="1">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c r="AG63" s="63"/>
    </row>
    <row r="64" spans="1:33" ht="15.75" customHeight="1">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row>
    <row r="65" spans="1:33" ht="15.75" customHeight="1">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row>
    <row r="66" spans="1:33" ht="15.75" customHeight="1">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c r="AG66" s="63"/>
    </row>
    <row r="67" spans="1:33" ht="15.75" customHeight="1">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row>
    <row r="68" spans="1:33" ht="15.75" customHeight="1">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c r="AG68" s="63"/>
    </row>
    <row r="69" spans="1:33" ht="15.75"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c r="AG69" s="63"/>
    </row>
    <row r="70" spans="1:33" ht="15.75" customHeight="1">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row>
    <row r="71" spans="1:33" ht="15.75" customHeight="1">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c r="AG71" s="63"/>
    </row>
    <row r="72" spans="1:33" ht="15.75" customHeight="1">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row>
    <row r="73" spans="1:33" ht="15.75" customHeight="1">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c r="AG73" s="63"/>
    </row>
    <row r="74" spans="1:33" ht="15.75" customHeight="1">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c r="AG74" s="63"/>
    </row>
    <row r="75" spans="1:33" ht="15.75" customHeight="1">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c r="AG75" s="63"/>
    </row>
    <row r="76" spans="1:33" ht="15.75" customHeight="1">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c r="AG76" s="63"/>
    </row>
    <row r="77" spans="1:33" ht="15.75" customHeight="1">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c r="AG77" s="63"/>
    </row>
    <row r="78" spans="1:33" ht="15.75" customHeight="1">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c r="AG78" s="63"/>
    </row>
    <row r="79" spans="1:33" ht="15.75"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c r="AG79" s="63"/>
    </row>
    <row r="80" spans="1:33" ht="15.75"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c r="AG80" s="63"/>
    </row>
    <row r="81" spans="1:33" ht="15.75"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row>
    <row r="82" spans="1:33" ht="15.75"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c r="AF82" s="63"/>
      <c r="AG82" s="63"/>
    </row>
    <row r="83" spans="1:33" ht="15.75"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c r="AG83" s="63"/>
    </row>
    <row r="84" spans="1:33" ht="15.75"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c r="AG84" s="63"/>
    </row>
    <row r="85" spans="1:33" ht="15.75"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c r="AG85" s="63"/>
    </row>
    <row r="86" spans="1:33" ht="15.75"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c r="AG86" s="63"/>
    </row>
    <row r="87" spans="1:33" ht="15.75"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c r="AG87" s="63"/>
    </row>
    <row r="88" spans="1:33" ht="15.75"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c r="AG88" s="63"/>
    </row>
    <row r="89" spans="1:33" ht="15.75"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c r="AG89" s="63"/>
    </row>
    <row r="90" spans="1:33" ht="15.75"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c r="AG90" s="63"/>
    </row>
    <row r="91" spans="1:33" ht="15.75"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c r="AG91" s="63"/>
    </row>
    <row r="92" spans="1:33" ht="15.75"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c r="AG92" s="63"/>
    </row>
    <row r="93" spans="1:33" ht="15.75"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c r="AG93" s="63"/>
    </row>
    <row r="94" spans="1:33" ht="15.75"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c r="AG94" s="63"/>
    </row>
    <row r="95" spans="1:33" ht="15.75"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c r="AG95" s="63"/>
    </row>
    <row r="96" spans="1:33" ht="15.75"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c r="AG96" s="63"/>
    </row>
    <row r="97" spans="1:33" ht="15.75"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c r="AG97" s="63"/>
    </row>
    <row r="98" spans="1:33" ht="15.75"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c r="AG98" s="63"/>
    </row>
    <row r="99" spans="1:33" ht="15.75"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c r="AG99" s="63"/>
    </row>
    <row r="100" spans="1:33" ht="15.75"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c r="AG100" s="63"/>
    </row>
    <row r="101" spans="1:33" ht="15.75"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c r="AG101" s="63"/>
    </row>
    <row r="102" spans="1:33" ht="15.75"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c r="AG102" s="63"/>
    </row>
    <row r="103" spans="1:33" ht="15.75"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c r="AG103" s="63"/>
    </row>
    <row r="104" spans="1:33" ht="15.75"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c r="AG104" s="63"/>
    </row>
    <row r="105" spans="1:33" ht="15.75"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c r="AG105" s="63"/>
    </row>
    <row r="106" spans="1:33" ht="15.75"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c r="AG106" s="63"/>
    </row>
    <row r="107" spans="1:33" ht="15.75"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c r="AG107" s="63"/>
    </row>
    <row r="108" spans="1:33" ht="15.75"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c r="AG108" s="63"/>
    </row>
    <row r="109" spans="1:33" ht="15.75"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c r="AG109" s="63"/>
    </row>
    <row r="110" spans="1:33" ht="15.75"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row>
    <row r="111" spans="1:33" ht="15.75"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c r="AG111" s="63"/>
    </row>
    <row r="112" spans="1:33" ht="15.75"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c r="AG112" s="63"/>
    </row>
    <row r="113" spans="1:33" ht="15.75"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c r="AG113" s="63"/>
    </row>
    <row r="114" spans="1:33" ht="15.75"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c r="AG114" s="63"/>
    </row>
    <row r="115" spans="1:33" ht="15.75"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c r="AG115" s="63"/>
    </row>
    <row r="116" spans="1:33" ht="15.75"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c r="AG116" s="63"/>
    </row>
    <row r="117" spans="1:33" ht="15.75"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c r="AG117" s="63"/>
    </row>
    <row r="118" spans="1:33" ht="15.75"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c r="AG118" s="63"/>
    </row>
    <row r="119" spans="1:33" ht="15.75"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c r="AG119" s="63"/>
    </row>
    <row r="120" spans="1:33" ht="15.75"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c r="AG120" s="63"/>
    </row>
    <row r="121" spans="1:33" ht="15.75"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c r="AG121" s="63"/>
    </row>
    <row r="122" spans="1:33" ht="15.75"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c r="AG122" s="63"/>
    </row>
    <row r="123" spans="1:33" ht="15.75"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c r="AG123" s="63"/>
    </row>
    <row r="124" spans="1:33" ht="15.75"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c r="AG124" s="63"/>
    </row>
    <row r="125" spans="1:33" ht="15.75"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c r="AG125" s="63"/>
    </row>
    <row r="126" spans="1:33" ht="15.75"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c r="AG126" s="63"/>
    </row>
    <row r="127" spans="1:33" ht="15.75"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c r="AG127" s="63"/>
    </row>
    <row r="128" spans="1:33" ht="15.75"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c r="AG128" s="63"/>
    </row>
    <row r="129" spans="1:33" ht="15.75"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c r="AG129" s="63"/>
    </row>
    <row r="130" spans="1:33" ht="15.75"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c r="AG130" s="63"/>
    </row>
    <row r="131" spans="1:33" ht="15.75"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c r="AG131" s="63"/>
    </row>
    <row r="132" spans="1:33" ht="15.75"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c r="AG132" s="63"/>
    </row>
    <row r="133" spans="1:33" ht="15.75"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c r="AG133" s="63"/>
    </row>
    <row r="134" spans="1:33" ht="15.75"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c r="AG134" s="63"/>
    </row>
    <row r="135" spans="1:33" ht="15.75"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row>
    <row r="136" spans="1:33" ht="15.75"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c r="AG136" s="63"/>
    </row>
    <row r="137" spans="1:33" ht="15.75"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c r="AG137" s="63"/>
    </row>
    <row r="138" spans="1:33" ht="15.75"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c r="AG138" s="63"/>
    </row>
    <row r="139" spans="1:33" ht="15.75"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c r="AG139" s="63"/>
    </row>
    <row r="140" spans="1:33" ht="15.75"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c r="AG140" s="63"/>
    </row>
    <row r="141" spans="1:33" ht="15.75"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c r="AG141" s="63"/>
    </row>
    <row r="142" spans="1:33" ht="15.75"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c r="AG142" s="63"/>
    </row>
    <row r="143" spans="1:33" ht="15.75"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c r="AG143" s="63"/>
    </row>
    <row r="144" spans="1:33" ht="15.75"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63"/>
    </row>
    <row r="145" spans="1:33" ht="15.75"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c r="AG145" s="63"/>
    </row>
    <row r="146" spans="1:33" ht="15.75"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c r="AG146" s="63"/>
    </row>
    <row r="147" spans="1:33" ht="15.75"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c r="AG147" s="63"/>
    </row>
    <row r="148" spans="1:33" ht="15.75"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c r="AG148" s="63"/>
    </row>
    <row r="149" spans="1:33" ht="15.75"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c r="AG149" s="63"/>
    </row>
    <row r="150" spans="1:33" ht="15.75"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c r="AG150" s="63"/>
    </row>
    <row r="151" spans="1:33" ht="15.75"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c r="AG151" s="63"/>
    </row>
    <row r="152" spans="1:33" ht="15.75"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c r="AG152" s="63"/>
    </row>
    <row r="153" spans="1:33" ht="15.75"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c r="AG153" s="63"/>
    </row>
    <row r="154" spans="1:33" ht="15.75"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c r="AG154" s="63"/>
    </row>
    <row r="155" spans="1:33" ht="15.75"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c r="AG155" s="63"/>
    </row>
    <row r="156" spans="1:33" ht="15.75"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c r="AG156" s="63"/>
    </row>
    <row r="157" spans="1:33" ht="15.75"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c r="AG157" s="63"/>
    </row>
    <row r="158" spans="1:33" ht="15.75"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c r="AG158" s="63"/>
    </row>
    <row r="159" spans="1:33" ht="15.75"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c r="AG159" s="63"/>
    </row>
    <row r="160" spans="1:33" ht="15.75"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c r="AG160" s="63"/>
    </row>
    <row r="161" spans="1:33" ht="15.75"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c r="AG161" s="63"/>
    </row>
    <row r="162" spans="1:33" ht="15.75"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c r="AG162" s="63"/>
    </row>
    <row r="163" spans="1:33" ht="15.75"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c r="AG163" s="63"/>
    </row>
    <row r="164" spans="1:33" ht="15.75"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c r="AG164" s="63"/>
    </row>
    <row r="165" spans="1:33" ht="15.75"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c r="AG165" s="63"/>
    </row>
    <row r="166" spans="1:33" ht="15.75"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c r="AG166" s="63"/>
    </row>
    <row r="167" spans="1:33" ht="15.75"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row>
    <row r="168" spans="1:33" ht="15.75"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c r="AG168" s="63"/>
    </row>
    <row r="169" spans="1:33" ht="15.75"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c r="AG169" s="63"/>
    </row>
    <row r="170" spans="1:33" ht="15.75"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c r="AG170" s="63"/>
    </row>
    <row r="171" spans="1:33" ht="15.75"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c r="AG171" s="63"/>
    </row>
    <row r="172" spans="1:33" ht="15.75"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c r="AG172" s="63"/>
    </row>
    <row r="173" spans="1:33" ht="15.75"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c r="AG173" s="63"/>
    </row>
    <row r="174" spans="1:33" ht="15.75"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c r="AG174" s="63"/>
    </row>
    <row r="175" spans="1:33" ht="15.75"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c r="AG175" s="63"/>
    </row>
    <row r="176" spans="1:33" ht="15.75"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c r="AG176" s="63"/>
    </row>
    <row r="177" spans="1:33" ht="15.75"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c r="AG177" s="63"/>
    </row>
    <row r="178" spans="1:33" ht="15.75"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c r="AG178" s="63"/>
    </row>
    <row r="179" spans="1:33" ht="15.75"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c r="AG179" s="63"/>
    </row>
    <row r="180" spans="1:33" ht="15.75"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c r="AG180" s="63"/>
    </row>
    <row r="181" spans="1:33" ht="15.75"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c r="AG181" s="63"/>
    </row>
    <row r="182" spans="1:33" ht="15.75"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c r="AG182" s="63"/>
    </row>
    <row r="183" spans="1:33" ht="15.75"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c r="AG183" s="63"/>
    </row>
    <row r="184" spans="1:33" ht="15.75"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c r="AG184" s="63"/>
    </row>
    <row r="185" spans="1:33" ht="15.75"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c r="AG185" s="63"/>
    </row>
    <row r="186" spans="1:33" ht="15.75"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c r="AG186" s="63"/>
    </row>
    <row r="187" spans="1:33" ht="15.75"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c r="AG187" s="63"/>
    </row>
    <row r="188" spans="1:33" ht="15.75"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row>
    <row r="189" spans="1:33" ht="15.75"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row>
    <row r="190" spans="1:33" ht="15.75"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row>
    <row r="191" spans="1:33" ht="15.75"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row>
    <row r="192" spans="1:33" ht="15.75"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row>
    <row r="193" spans="1:33" ht="15.75"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row>
    <row r="194" spans="1:33" ht="15.75"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row>
    <row r="195" spans="1:33" ht="15.75"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row>
    <row r="196" spans="1:33" ht="15.75"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row>
    <row r="197" spans="1:33" ht="15.75"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row>
    <row r="198" spans="1:33" ht="15.75"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row>
    <row r="199" spans="1:33" ht="15.75"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row>
    <row r="200" spans="1:33" ht="15.75"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row>
    <row r="201" spans="1:33" ht="15.75"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row>
    <row r="202" spans="1:33" ht="15.75"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row>
    <row r="203" spans="1:33" ht="15.75"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row>
    <row r="204" spans="1:33" ht="15.75"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row>
    <row r="205" spans="1:33" ht="15.75"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row>
    <row r="206" spans="1:33" ht="15.75"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row>
    <row r="207" spans="1:33" ht="15.75"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row>
    <row r="208" spans="1:33" ht="15.75"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row>
    <row r="209" spans="1:33" ht="15.75"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row>
    <row r="210" spans="1:33" ht="15.75"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row>
    <row r="211" spans="1:33" ht="15.75"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row>
    <row r="212" spans="1:33" ht="15.75"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row>
    <row r="213" spans="1:33" ht="15.75"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row>
    <row r="214" spans="1:33" ht="15.75"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row>
    <row r="215" spans="1:33" ht="15.75"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row>
    <row r="216" spans="1:33" ht="15.75"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row>
    <row r="217" spans="1:33" ht="15.75"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row>
    <row r="218" spans="1:33" ht="15.75"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row>
    <row r="219" spans="1:33" ht="15.75"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row>
    <row r="220" spans="1:33" ht="15.75"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row>
    <row r="221" spans="1:33" ht="15.75"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row>
    <row r="222" spans="1:33" ht="15.75"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row>
    <row r="223" spans="1:33" ht="15.75"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row>
    <row r="224" spans="1:33" ht="15.75"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row>
    <row r="225" spans="1:33" ht="15.75"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row>
    <row r="226" spans="1:33" ht="15.75"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row>
    <row r="227" spans="1:33" ht="15.75"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row>
    <row r="228" spans="1:33" ht="15.75"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row>
    <row r="229" spans="1:33" ht="15.75"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row>
    <row r="230" spans="1:33" ht="15.75"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row>
    <row r="231" spans="1:33" ht="15.75"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row>
    <row r="232" spans="1:33" ht="15.75"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row>
    <row r="233" spans="1:33" ht="15.75"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row>
    <row r="234" spans="1:33" ht="15.75"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row>
    <row r="235" spans="1:33" ht="15.75"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row>
    <row r="236" spans="1:33" ht="15.75"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row>
    <row r="237" spans="1:33" ht="15.75"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row>
    <row r="238" spans="1:33" ht="15.75"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row>
    <row r="239" spans="1:33" ht="15.75"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row>
    <row r="240" spans="1:33" ht="15.75"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row>
    <row r="241" spans="1:33" ht="15.75" customHeight="1">
      <c r="A241" s="63"/>
      <c r="B241" s="63"/>
      <c r="C241" s="63"/>
      <c r="D241" s="63"/>
      <c r="E241" s="63"/>
      <c r="F241" s="63"/>
      <c r="G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row>
    <row r="242" spans="1:33" ht="15.75" customHeight="1">
      <c r="A242" s="63"/>
      <c r="B242" s="63"/>
      <c r="C242" s="63"/>
      <c r="D242" s="63"/>
      <c r="E242" s="63"/>
      <c r="F242" s="63"/>
      <c r="G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row>
    <row r="243" spans="1:33" ht="15.75" customHeight="1">
      <c r="A243" s="63"/>
      <c r="B243" s="63"/>
      <c r="C243" s="63"/>
      <c r="D243" s="63"/>
      <c r="E243" s="63"/>
      <c r="F243" s="63"/>
      <c r="G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row>
    <row r="244" spans="1:33" ht="15.75" customHeight="1">
      <c r="A244" s="63"/>
      <c r="B244" s="63"/>
      <c r="C244" s="63"/>
      <c r="D244" s="63"/>
      <c r="E244" s="63"/>
      <c r="F244" s="63"/>
      <c r="G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row>
    <row r="245" spans="1:33" ht="15.75" customHeight="1"/>
    <row r="246" spans="1:33" ht="15.75" customHeight="1"/>
    <row r="247" spans="1:33" ht="15.75" customHeight="1"/>
    <row r="248" spans="1:33" ht="15.75" customHeight="1"/>
    <row r="249" spans="1:33" ht="15.75" customHeight="1"/>
    <row r="250" spans="1:33" ht="15.75" customHeight="1"/>
    <row r="251" spans="1:33" ht="15.75" customHeight="1"/>
    <row r="252" spans="1:33" ht="15.75" customHeight="1"/>
    <row r="253" spans="1:33" ht="15.75" customHeight="1"/>
    <row r="254" spans="1:33" ht="15.75" customHeight="1"/>
    <row r="255" spans="1:33" ht="15.75" customHeight="1"/>
    <row r="256" spans="1:33"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2"/>
  <sheetViews>
    <sheetView workbookViewId="0">
      <selection activeCell="F3" sqref="F3"/>
    </sheetView>
  </sheetViews>
  <sheetFormatPr defaultColWidth="14.44140625" defaultRowHeight="15" customHeight="1"/>
  <cols>
    <col min="1" max="1" width="77.44140625" customWidth="1"/>
    <col min="2" max="3" width="39.6640625" customWidth="1"/>
    <col min="4" max="4" width="22.109375" customWidth="1"/>
    <col min="5" max="5" width="17.5546875" customWidth="1"/>
    <col min="6" max="6" width="14.44140625" customWidth="1"/>
    <col min="7" max="7" width="15" customWidth="1"/>
    <col min="8" max="26" width="8.6640625" customWidth="1"/>
  </cols>
  <sheetData>
    <row r="1" spans="1:26" ht="18">
      <c r="A1" s="22" t="s">
        <v>209</v>
      </c>
      <c r="B1" s="96"/>
      <c r="C1" s="97" t="s">
        <v>3</v>
      </c>
      <c r="D1" s="98" t="s">
        <v>4</v>
      </c>
      <c r="E1" s="99" t="s">
        <v>210</v>
      </c>
      <c r="F1" s="98" t="s">
        <v>211</v>
      </c>
    </row>
    <row r="2" spans="1:26" ht="18">
      <c r="A2" s="100" t="s">
        <v>81</v>
      </c>
      <c r="B2" s="101"/>
      <c r="C2" s="101" t="s">
        <v>16</v>
      </c>
      <c r="D2" s="102" t="s">
        <v>17</v>
      </c>
      <c r="E2" s="103">
        <v>500</v>
      </c>
      <c r="F2" s="103">
        <v>500</v>
      </c>
      <c r="G2" s="103"/>
      <c r="H2" s="100" t="s">
        <v>28</v>
      </c>
    </row>
    <row r="3" spans="1:26" ht="18">
      <c r="A3" s="104" t="s">
        <v>96</v>
      </c>
      <c r="B3" s="105"/>
      <c r="C3" s="105" t="s">
        <v>16</v>
      </c>
      <c r="D3" s="106" t="s">
        <v>17</v>
      </c>
      <c r="E3" s="107">
        <v>1000</v>
      </c>
      <c r="F3" s="107">
        <v>1000</v>
      </c>
    </row>
    <row r="4" spans="1:26" ht="18">
      <c r="A4" s="108" t="s">
        <v>97</v>
      </c>
      <c r="B4" s="109"/>
      <c r="C4" s="109" t="s">
        <v>16</v>
      </c>
      <c r="D4" s="110" t="s">
        <v>17</v>
      </c>
      <c r="E4" s="110">
        <v>2000</v>
      </c>
      <c r="F4" s="110">
        <v>2000</v>
      </c>
    </row>
    <row r="5" spans="1:26" ht="18">
      <c r="A5" s="100" t="s">
        <v>213</v>
      </c>
      <c r="B5" s="101"/>
      <c r="C5" s="101" t="s">
        <v>115</v>
      </c>
      <c r="D5" s="102">
        <v>100</v>
      </c>
      <c r="E5" s="103">
        <v>1000</v>
      </c>
      <c r="F5" s="103">
        <v>1000</v>
      </c>
    </row>
    <row r="6" spans="1:26" ht="18">
      <c r="A6" s="104" t="s">
        <v>214</v>
      </c>
      <c r="B6" s="105"/>
      <c r="C6" s="105" t="s">
        <v>115</v>
      </c>
      <c r="D6" s="107" t="s">
        <v>119</v>
      </c>
      <c r="E6" s="106">
        <v>2000</v>
      </c>
      <c r="F6" s="107">
        <v>2000</v>
      </c>
    </row>
    <row r="7" spans="1:26" ht="18">
      <c r="A7" s="100" t="s">
        <v>215</v>
      </c>
      <c r="B7" s="101"/>
      <c r="C7" s="101" t="s">
        <v>115</v>
      </c>
      <c r="D7" s="103">
        <v>7500</v>
      </c>
      <c r="E7" s="103">
        <v>2000</v>
      </c>
      <c r="F7" s="103">
        <v>9500</v>
      </c>
    </row>
    <row r="8" spans="1:26" ht="18">
      <c r="A8" s="104" t="s">
        <v>122</v>
      </c>
      <c r="B8" s="105"/>
      <c r="C8" s="105" t="s">
        <v>115</v>
      </c>
      <c r="D8" s="106" t="s">
        <v>123</v>
      </c>
      <c r="E8" s="107">
        <v>1000</v>
      </c>
      <c r="F8" s="107">
        <v>1000</v>
      </c>
    </row>
    <row r="9" spans="1:26" ht="18">
      <c r="A9" s="111" t="s">
        <v>125</v>
      </c>
      <c r="B9" s="101"/>
      <c r="C9" s="101" t="s">
        <v>16</v>
      </c>
      <c r="D9" s="102">
        <v>500</v>
      </c>
      <c r="E9" s="103">
        <v>1000</v>
      </c>
      <c r="F9" s="103">
        <v>1500</v>
      </c>
    </row>
    <row r="10" spans="1:26" ht="18">
      <c r="A10" s="112" t="s">
        <v>216</v>
      </c>
      <c r="B10" s="109"/>
      <c r="C10" s="109" t="s">
        <v>16</v>
      </c>
      <c r="D10" s="110" t="s">
        <v>17</v>
      </c>
      <c r="E10" s="110">
        <v>2000</v>
      </c>
      <c r="F10" s="110">
        <v>2000</v>
      </c>
    </row>
    <row r="11" spans="1:26" ht="18">
      <c r="A11" s="108" t="s">
        <v>217</v>
      </c>
      <c r="B11" s="109"/>
      <c r="C11" s="109" t="s">
        <v>62</v>
      </c>
      <c r="D11" s="110" t="s">
        <v>17</v>
      </c>
      <c r="E11" s="110">
        <v>500</v>
      </c>
      <c r="F11" s="110">
        <v>500</v>
      </c>
    </row>
    <row r="12" spans="1:26" ht="18">
      <c r="A12" s="108" t="s">
        <v>131</v>
      </c>
      <c r="B12" s="109"/>
      <c r="C12" s="109" t="s">
        <v>16</v>
      </c>
      <c r="D12" s="110"/>
      <c r="E12" s="110">
        <v>2000</v>
      </c>
      <c r="F12" s="110"/>
    </row>
    <row r="13" spans="1:26" ht="17.399999999999999">
      <c r="A13" s="100" t="s">
        <v>141</v>
      </c>
      <c r="B13" s="100"/>
      <c r="C13" s="100" t="s">
        <v>16</v>
      </c>
      <c r="D13" s="103">
        <v>5900</v>
      </c>
      <c r="E13" s="103">
        <v>2000</v>
      </c>
      <c r="F13" s="103">
        <v>7900</v>
      </c>
    </row>
    <row r="14" spans="1:26" ht="18">
      <c r="A14" s="108" t="s">
        <v>97</v>
      </c>
      <c r="B14" s="109"/>
      <c r="C14" s="109" t="s">
        <v>16</v>
      </c>
      <c r="D14" s="110" t="s">
        <v>17</v>
      </c>
      <c r="E14" s="110">
        <v>2000</v>
      </c>
      <c r="F14" s="110">
        <v>2000</v>
      </c>
    </row>
    <row r="16" spans="1:26" ht="22.2">
      <c r="A16" s="113" t="s">
        <v>218</v>
      </c>
      <c r="B16" s="114"/>
      <c r="C16" s="114"/>
      <c r="D16" s="114"/>
      <c r="E16" s="114"/>
      <c r="F16" s="114"/>
      <c r="G16" s="114"/>
      <c r="H16" s="114"/>
      <c r="I16" s="114"/>
      <c r="J16" s="114"/>
      <c r="K16" s="114"/>
      <c r="L16" s="114"/>
      <c r="M16" s="114"/>
      <c r="N16" s="114"/>
      <c r="O16" s="114"/>
      <c r="P16" s="114"/>
      <c r="Q16" s="114"/>
      <c r="R16" s="114"/>
      <c r="S16" s="114"/>
      <c r="T16" s="114"/>
      <c r="U16" s="114"/>
      <c r="V16" s="114"/>
      <c r="W16" s="114"/>
      <c r="X16" s="114"/>
      <c r="Y16" s="114"/>
      <c r="Z16" s="114"/>
    </row>
    <row r="17" spans="1:26" ht="14.4">
      <c r="A17" s="115" t="s">
        <v>219</v>
      </c>
      <c r="B17" s="116"/>
      <c r="C17" s="116"/>
      <c r="D17" s="116"/>
      <c r="E17" s="116"/>
      <c r="F17" s="116"/>
      <c r="G17" s="116"/>
      <c r="H17" s="116"/>
      <c r="I17" s="116"/>
      <c r="J17" s="116"/>
      <c r="K17" s="116"/>
      <c r="L17" s="116"/>
      <c r="M17" s="116"/>
      <c r="N17" s="116"/>
      <c r="O17" s="116"/>
      <c r="P17" s="116"/>
      <c r="Q17" s="116"/>
      <c r="R17" s="116"/>
      <c r="S17" s="116"/>
      <c r="T17" s="116"/>
      <c r="U17" s="116"/>
      <c r="V17" s="116"/>
      <c r="W17" s="116"/>
      <c r="X17" s="116"/>
      <c r="Y17" s="116"/>
      <c r="Z17" s="116"/>
    </row>
    <row r="18" spans="1:26" ht="14.4">
      <c r="A18" s="22" t="s">
        <v>220</v>
      </c>
      <c r="B18" s="22"/>
      <c r="C18" s="22" t="s">
        <v>16</v>
      </c>
      <c r="D18" s="22" t="s">
        <v>221</v>
      </c>
      <c r="E18" s="23">
        <v>2500</v>
      </c>
    </row>
    <row r="19" spans="1:26" ht="14.4">
      <c r="A19" s="23" t="s">
        <v>222</v>
      </c>
    </row>
    <row r="20" spans="1:26" ht="14.4">
      <c r="A20" s="117" t="s">
        <v>223</v>
      </c>
    </row>
    <row r="21" spans="1:26" ht="14.4">
      <c r="A21" s="117" t="s">
        <v>224</v>
      </c>
    </row>
    <row r="22" spans="1:26" ht="15.75" customHeight="1"/>
    <row r="23" spans="1:26" ht="15.75" customHeight="1">
      <c r="A23" s="118" t="s">
        <v>225</v>
      </c>
      <c r="B23" s="119"/>
      <c r="C23" s="119"/>
      <c r="D23" s="119"/>
      <c r="E23" s="119"/>
      <c r="F23" s="116"/>
      <c r="G23" s="116"/>
      <c r="H23" s="116"/>
      <c r="I23" s="116"/>
      <c r="J23" s="116"/>
      <c r="K23" s="116"/>
      <c r="L23" s="116"/>
      <c r="M23" s="116"/>
      <c r="N23" s="116"/>
      <c r="O23" s="116"/>
      <c r="P23" s="116"/>
      <c r="Q23" s="116"/>
      <c r="R23" s="116"/>
      <c r="S23" s="116"/>
      <c r="T23" s="116"/>
      <c r="U23" s="116"/>
      <c r="V23" s="116"/>
      <c r="W23" s="116"/>
      <c r="X23" s="116"/>
      <c r="Y23" s="116"/>
      <c r="Z23" s="116"/>
    </row>
    <row r="24" spans="1:26" ht="15.75" customHeight="1">
      <c r="A24" s="120" t="s">
        <v>226</v>
      </c>
      <c r="B24" s="121" t="s">
        <v>227</v>
      </c>
      <c r="C24" s="58" t="s">
        <v>228</v>
      </c>
      <c r="D24" s="58" t="s">
        <v>221</v>
      </c>
      <c r="E24" s="120">
        <v>4000</v>
      </c>
    </row>
    <row r="25" spans="1:26" ht="15.75" customHeight="1">
      <c r="A25" s="120" t="s">
        <v>229</v>
      </c>
      <c r="B25" s="58"/>
      <c r="C25" s="58"/>
      <c r="D25" s="58"/>
      <c r="E25" s="120">
        <v>30000</v>
      </c>
    </row>
    <row r="26" spans="1:26" ht="15.75" customHeight="1">
      <c r="A26" s="58"/>
      <c r="B26" s="58"/>
      <c r="C26" s="58" t="s">
        <v>228</v>
      </c>
      <c r="D26" s="58" t="s">
        <v>221</v>
      </c>
      <c r="E26" s="58">
        <v>2500</v>
      </c>
    </row>
    <row r="27" spans="1:26" ht="15.75" customHeight="1">
      <c r="A27" s="58" t="s">
        <v>230</v>
      </c>
      <c r="B27" s="122" t="s">
        <v>231</v>
      </c>
      <c r="C27" s="58" t="s">
        <v>232</v>
      </c>
      <c r="D27" s="58" t="s">
        <v>221</v>
      </c>
      <c r="E27" s="58">
        <v>1000</v>
      </c>
    </row>
    <row r="28" spans="1:26" ht="15.75" customHeight="1">
      <c r="A28" s="58" t="s">
        <v>233</v>
      </c>
      <c r="B28" s="58"/>
      <c r="C28" s="58"/>
      <c r="D28" s="58" t="s">
        <v>221</v>
      </c>
      <c r="E28" s="58">
        <v>1000</v>
      </c>
    </row>
    <row r="29" spans="1:26" ht="15.75" customHeight="1">
      <c r="A29" s="120" t="s">
        <v>234</v>
      </c>
      <c r="B29" s="58"/>
      <c r="C29" s="58"/>
      <c r="D29" s="58" t="s">
        <v>221</v>
      </c>
      <c r="E29" s="58">
        <v>1500</v>
      </c>
    </row>
    <row r="30" spans="1:26" ht="18">
      <c r="A30" s="123" t="s">
        <v>235</v>
      </c>
      <c r="B30" s="58"/>
      <c r="C30" s="58"/>
      <c r="D30" s="58"/>
      <c r="E30" s="120">
        <v>8500</v>
      </c>
      <c r="F30" s="58"/>
      <c r="G30" s="58"/>
      <c r="H30" s="58"/>
      <c r="J30" s="101">
        <v>1000</v>
      </c>
      <c r="K30" s="103" t="s">
        <v>236</v>
      </c>
      <c r="L30" s="124"/>
      <c r="M30" s="124"/>
      <c r="N30" s="124"/>
    </row>
    <row r="31" spans="1:26" ht="18">
      <c r="A31" s="125" t="s">
        <v>237</v>
      </c>
      <c r="B31" s="58"/>
      <c r="C31" s="58"/>
      <c r="D31" s="58"/>
      <c r="E31" s="58"/>
      <c r="F31" s="58"/>
      <c r="G31" s="58"/>
      <c r="H31" s="58"/>
      <c r="J31" s="105">
        <v>600</v>
      </c>
      <c r="K31" s="107"/>
      <c r="L31" s="126"/>
      <c r="M31" s="126"/>
      <c r="N31" s="126"/>
    </row>
    <row r="32" spans="1:26" ht="15.75" customHeight="1">
      <c r="A32" s="58" t="s">
        <v>238</v>
      </c>
      <c r="B32" s="58"/>
      <c r="C32" s="58"/>
      <c r="D32" s="58">
        <v>10000</v>
      </c>
      <c r="E32" s="58">
        <v>5000</v>
      </c>
    </row>
    <row r="33" spans="1:6" ht="15.75" customHeight="1">
      <c r="A33" s="58" t="s">
        <v>239</v>
      </c>
      <c r="B33" s="58"/>
      <c r="C33" s="58"/>
      <c r="D33" s="58">
        <v>5000</v>
      </c>
      <c r="E33" s="58">
        <v>2500</v>
      </c>
    </row>
    <row r="36" spans="1:6" ht="15.75" customHeight="1">
      <c r="D36" s="23">
        <v>4000</v>
      </c>
    </row>
    <row r="37" spans="1:6" ht="15.75" customHeight="1">
      <c r="D37" s="23">
        <v>7000</v>
      </c>
    </row>
    <row r="38" spans="1:6" ht="15.75" customHeight="1">
      <c r="D38" s="23">
        <v>11000</v>
      </c>
    </row>
    <row r="39" spans="1:6" ht="15.75" customHeight="1">
      <c r="D39" s="23">
        <v>10000</v>
      </c>
      <c r="E39" s="23" t="s">
        <v>240</v>
      </c>
      <c r="F39" s="23">
        <v>1500</v>
      </c>
    </row>
    <row r="40" spans="1:6" ht="15.75" customHeight="1"/>
    <row r="41" spans="1:6" ht="15.75" customHeight="1"/>
    <row r="42" spans="1:6" ht="15.75" customHeight="1"/>
    <row r="43" spans="1:6" ht="15.75" customHeight="1"/>
    <row r="44" spans="1:6" ht="15.75" customHeight="1"/>
    <row r="45" spans="1:6" ht="15.75" customHeight="1"/>
    <row r="46" spans="1:6" ht="15.75" customHeight="1"/>
    <row r="47" spans="1:6" ht="15.75" customHeight="1"/>
    <row r="48" spans="1: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hyperlinks>
    <hyperlink ref="B24" r:id="rId1"/>
    <hyperlink ref="B27" r:id="rId2"/>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1" topLeftCell="A8" activePane="bottomLeft" state="frozen"/>
      <selection pane="bottomLeft" activeCell="B18" sqref="B18"/>
    </sheetView>
  </sheetViews>
  <sheetFormatPr defaultColWidth="14.44140625" defaultRowHeight="15" customHeight="1"/>
  <cols>
    <col min="1" max="1" width="37.88671875" customWidth="1"/>
    <col min="2" max="2" width="28.88671875" customWidth="1"/>
    <col min="3" max="3" width="33.44140625" customWidth="1"/>
    <col min="4" max="4" width="39.33203125" customWidth="1"/>
    <col min="5" max="5" width="36" customWidth="1"/>
    <col min="6" max="6" width="52.44140625" customWidth="1"/>
    <col min="7" max="26" width="8.6640625" customWidth="1"/>
  </cols>
  <sheetData>
    <row r="1" spans="1:26" ht="51" customHeight="1">
      <c r="A1" s="127" t="s">
        <v>241</v>
      </c>
      <c r="B1" s="128" t="s">
        <v>242</v>
      </c>
      <c r="C1" s="127" t="s">
        <v>243</v>
      </c>
      <c r="D1" s="127" t="s">
        <v>244</v>
      </c>
      <c r="E1" s="127" t="s">
        <v>245</v>
      </c>
      <c r="F1" s="127" t="s">
        <v>246</v>
      </c>
    </row>
    <row r="2" spans="1:26" ht="18.75" customHeight="1">
      <c r="A2" s="129" t="s">
        <v>247</v>
      </c>
      <c r="B2" s="120">
        <v>8000</v>
      </c>
      <c r="C2" s="129" t="s">
        <v>248</v>
      </c>
      <c r="D2" s="129" t="s">
        <v>248</v>
      </c>
      <c r="E2" s="129" t="s">
        <v>248</v>
      </c>
      <c r="F2" s="129" t="s">
        <v>248</v>
      </c>
    </row>
    <row r="3" spans="1:26" ht="18.75" customHeight="1">
      <c r="A3" s="129" t="s">
        <v>161</v>
      </c>
      <c r="B3" s="120">
        <v>8000</v>
      </c>
      <c r="C3" s="129" t="s">
        <v>249</v>
      </c>
      <c r="D3" s="129" t="s">
        <v>249</v>
      </c>
      <c r="E3" s="129" t="s">
        <v>249</v>
      </c>
      <c r="F3" s="129" t="s">
        <v>249</v>
      </c>
    </row>
    <row r="4" spans="1:26" ht="18.75" customHeight="1">
      <c r="A4" s="129" t="s">
        <v>162</v>
      </c>
      <c r="B4" s="120">
        <v>8000</v>
      </c>
      <c r="C4" s="129" t="s">
        <v>249</v>
      </c>
      <c r="D4" s="129" t="s">
        <v>249</v>
      </c>
      <c r="E4" s="129" t="s">
        <v>249</v>
      </c>
      <c r="F4" s="129" t="s">
        <v>249</v>
      </c>
    </row>
    <row r="5" spans="1:26" ht="18.75" customHeight="1">
      <c r="A5" s="130" t="s">
        <v>163</v>
      </c>
      <c r="B5" s="120">
        <v>8000</v>
      </c>
      <c r="C5" s="130" t="s">
        <v>250</v>
      </c>
      <c r="D5" s="130" t="s">
        <v>251</v>
      </c>
      <c r="E5" s="130" t="s">
        <v>251</v>
      </c>
      <c r="F5" s="130" t="s">
        <v>251</v>
      </c>
      <c r="G5" s="131"/>
      <c r="H5" s="131"/>
      <c r="I5" s="131"/>
      <c r="J5" s="131"/>
      <c r="K5" s="131"/>
      <c r="L5" s="131"/>
      <c r="M5" s="131"/>
      <c r="N5" s="131"/>
      <c r="O5" s="131"/>
      <c r="P5" s="131"/>
      <c r="Q5" s="131"/>
      <c r="R5" s="131"/>
      <c r="S5" s="131"/>
      <c r="T5" s="131"/>
      <c r="U5" s="131"/>
      <c r="V5" s="131"/>
      <c r="W5" s="131"/>
      <c r="X5" s="131"/>
      <c r="Y5" s="131"/>
      <c r="Z5" s="131"/>
    </row>
    <row r="6" spans="1:26" ht="18.75" customHeight="1">
      <c r="A6" s="130" t="s">
        <v>165</v>
      </c>
      <c r="B6" s="120">
        <v>8000</v>
      </c>
      <c r="C6" s="130" t="s">
        <v>252</v>
      </c>
      <c r="D6" s="130" t="s">
        <v>253</v>
      </c>
      <c r="E6" s="130" t="s">
        <v>251</v>
      </c>
      <c r="F6" s="130" t="s">
        <v>251</v>
      </c>
      <c r="G6" s="131"/>
      <c r="H6" s="131"/>
      <c r="I6" s="131"/>
      <c r="J6" s="131"/>
      <c r="K6" s="131"/>
      <c r="L6" s="131"/>
      <c r="M6" s="131"/>
      <c r="N6" s="131"/>
      <c r="O6" s="131"/>
      <c r="P6" s="131"/>
      <c r="Q6" s="131"/>
      <c r="R6" s="131"/>
      <c r="S6" s="131"/>
      <c r="T6" s="131"/>
      <c r="U6" s="131"/>
      <c r="V6" s="131"/>
      <c r="W6" s="131"/>
      <c r="X6" s="131"/>
      <c r="Y6" s="131"/>
      <c r="Z6" s="131"/>
    </row>
    <row r="7" spans="1:26" ht="18.75" customHeight="1">
      <c r="A7" s="228" t="s">
        <v>168</v>
      </c>
      <c r="B7" s="120">
        <v>8000</v>
      </c>
      <c r="C7" s="228" t="s">
        <v>254</v>
      </c>
      <c r="D7" s="228" t="s">
        <v>254</v>
      </c>
      <c r="E7" s="132" t="s">
        <v>254</v>
      </c>
      <c r="F7" s="132" t="s">
        <v>254</v>
      </c>
    </row>
    <row r="8" spans="1:26" ht="18.75" customHeight="1">
      <c r="A8" s="229"/>
      <c r="B8" s="120">
        <v>8000</v>
      </c>
      <c r="C8" s="229"/>
      <c r="D8" s="229"/>
      <c r="E8" s="133" t="s">
        <v>255</v>
      </c>
      <c r="F8" s="133" t="s">
        <v>256</v>
      </c>
    </row>
    <row r="9" spans="1:26" ht="18.75" customHeight="1">
      <c r="A9" s="129" t="s">
        <v>169</v>
      </c>
      <c r="B9" s="120">
        <v>8000</v>
      </c>
      <c r="C9" s="129" t="s">
        <v>257</v>
      </c>
      <c r="D9" s="129" t="s">
        <v>257</v>
      </c>
      <c r="E9" s="129" t="s">
        <v>257</v>
      </c>
      <c r="F9" s="129" t="s">
        <v>257</v>
      </c>
    </row>
    <row r="10" spans="1:26" ht="18.75" customHeight="1">
      <c r="A10" s="129" t="s">
        <v>170</v>
      </c>
      <c r="B10" s="120">
        <v>8000</v>
      </c>
      <c r="C10" s="129" t="s">
        <v>258</v>
      </c>
      <c r="D10" s="129" t="s">
        <v>259</v>
      </c>
      <c r="E10" s="129" t="s">
        <v>260</v>
      </c>
      <c r="F10" s="129" t="s">
        <v>261</v>
      </c>
    </row>
    <row r="11" spans="1:26" ht="18.75" customHeight="1">
      <c r="A11" s="129" t="s">
        <v>171</v>
      </c>
      <c r="B11" s="120">
        <v>8000</v>
      </c>
      <c r="C11" s="129" t="s">
        <v>258</v>
      </c>
      <c r="D11" s="129" t="s">
        <v>258</v>
      </c>
      <c r="E11" s="129" t="s">
        <v>258</v>
      </c>
      <c r="F11" s="129" t="s">
        <v>258</v>
      </c>
    </row>
    <row r="12" spans="1:26" ht="18.75" customHeight="1">
      <c r="A12" s="129" t="s">
        <v>262</v>
      </c>
      <c r="B12" s="120">
        <v>8000</v>
      </c>
      <c r="C12" s="129" t="s">
        <v>249</v>
      </c>
      <c r="D12" s="129" t="s">
        <v>249</v>
      </c>
      <c r="E12" s="129" t="s">
        <v>249</v>
      </c>
      <c r="F12" s="129" t="s">
        <v>249</v>
      </c>
    </row>
    <row r="13" spans="1:26" ht="18.75" customHeight="1">
      <c r="A13" s="129" t="s">
        <v>263</v>
      </c>
      <c r="B13" s="120">
        <v>8000</v>
      </c>
      <c r="C13" s="129" t="s">
        <v>249</v>
      </c>
      <c r="D13" s="129" t="s">
        <v>249</v>
      </c>
      <c r="E13" s="129" t="s">
        <v>249</v>
      </c>
      <c r="F13" s="129" t="s">
        <v>249</v>
      </c>
    </row>
    <row r="14" spans="1:26" ht="18.75" customHeight="1">
      <c r="A14" s="130" t="s">
        <v>174</v>
      </c>
      <c r="B14" s="134">
        <v>9000</v>
      </c>
      <c r="C14" s="130" t="s">
        <v>250</v>
      </c>
      <c r="D14" s="130" t="s">
        <v>251</v>
      </c>
      <c r="E14" s="130" t="s">
        <v>251</v>
      </c>
      <c r="F14" s="130" t="s">
        <v>251</v>
      </c>
      <c r="G14" s="131"/>
      <c r="H14" s="131"/>
      <c r="I14" s="131"/>
      <c r="J14" s="131"/>
      <c r="K14" s="131"/>
      <c r="L14" s="131"/>
      <c r="M14" s="131"/>
      <c r="N14" s="131"/>
      <c r="O14" s="131"/>
      <c r="P14" s="131"/>
      <c r="Q14" s="131"/>
      <c r="R14" s="131"/>
      <c r="S14" s="131"/>
      <c r="T14" s="131"/>
      <c r="U14" s="131"/>
      <c r="V14" s="131"/>
      <c r="W14" s="131"/>
      <c r="X14" s="131"/>
      <c r="Y14" s="131"/>
      <c r="Z14" s="131"/>
    </row>
    <row r="15" spans="1:26" ht="18.75" customHeight="1">
      <c r="A15" s="129" t="s">
        <v>175</v>
      </c>
      <c r="B15" s="120">
        <v>5500</v>
      </c>
      <c r="C15" s="129" t="s">
        <v>258</v>
      </c>
      <c r="D15" s="129" t="s">
        <v>258</v>
      </c>
      <c r="E15" s="129" t="s">
        <v>258</v>
      </c>
      <c r="F15" s="129" t="s">
        <v>264</v>
      </c>
    </row>
    <row r="16" spans="1:26" ht="18.75" customHeight="1">
      <c r="A16" s="130" t="s">
        <v>176</v>
      </c>
      <c r="B16" s="134">
        <v>11500</v>
      </c>
      <c r="C16" s="135" t="s">
        <v>251</v>
      </c>
      <c r="D16" s="130" t="s">
        <v>251</v>
      </c>
      <c r="E16" s="130" t="s">
        <v>251</v>
      </c>
      <c r="F16" s="130" t="s">
        <v>251</v>
      </c>
      <c r="G16" s="131"/>
      <c r="H16" s="131"/>
      <c r="I16" s="131"/>
      <c r="J16" s="131"/>
      <c r="K16" s="131"/>
      <c r="L16" s="131"/>
      <c r="M16" s="131"/>
      <c r="N16" s="131"/>
      <c r="O16" s="131"/>
      <c r="P16" s="131"/>
      <c r="Q16" s="131"/>
      <c r="R16" s="131"/>
      <c r="S16" s="131"/>
      <c r="T16" s="131"/>
      <c r="U16" s="131"/>
      <c r="V16" s="131"/>
      <c r="W16" s="131"/>
      <c r="X16" s="131"/>
      <c r="Y16" s="131"/>
      <c r="Z16" s="131"/>
    </row>
    <row r="17" spans="1:26" ht="18.75" customHeight="1">
      <c r="A17" s="130" t="s">
        <v>265</v>
      </c>
      <c r="B17" s="134">
        <v>8500</v>
      </c>
      <c r="C17" s="130" t="s">
        <v>252</v>
      </c>
      <c r="D17" s="130" t="s">
        <v>259</v>
      </c>
      <c r="E17" s="130" t="s">
        <v>266</v>
      </c>
      <c r="F17" s="130" t="s">
        <v>266</v>
      </c>
      <c r="G17" s="131"/>
      <c r="H17" s="131"/>
      <c r="I17" s="131"/>
      <c r="J17" s="131"/>
      <c r="K17" s="131"/>
      <c r="L17" s="131"/>
      <c r="M17" s="131"/>
      <c r="N17" s="131"/>
      <c r="O17" s="131"/>
      <c r="P17" s="131"/>
      <c r="Q17" s="131"/>
      <c r="R17" s="131"/>
      <c r="S17" s="131"/>
      <c r="T17" s="131"/>
      <c r="U17" s="131"/>
      <c r="V17" s="131"/>
      <c r="W17" s="131"/>
      <c r="X17" s="131"/>
      <c r="Y17" s="131"/>
      <c r="Z17" s="131"/>
    </row>
    <row r="18" spans="1:26" ht="18.75" customHeight="1">
      <c r="A18" s="228" t="s">
        <v>179</v>
      </c>
      <c r="B18" s="120">
        <v>8000</v>
      </c>
      <c r="C18" s="132" t="s">
        <v>254</v>
      </c>
      <c r="D18" s="228" t="s">
        <v>254</v>
      </c>
      <c r="E18" s="228" t="s">
        <v>254</v>
      </c>
      <c r="F18" s="132" t="s">
        <v>254</v>
      </c>
    </row>
    <row r="19" spans="1:26" ht="18.75" customHeight="1">
      <c r="A19" s="229"/>
      <c r="B19" s="120">
        <v>8000</v>
      </c>
      <c r="C19" s="133" t="s">
        <v>267</v>
      </c>
      <c r="D19" s="229"/>
      <c r="E19" s="229"/>
      <c r="F19" s="133" t="s">
        <v>268</v>
      </c>
    </row>
    <row r="20" spans="1:26" ht="18.75" customHeight="1">
      <c r="A20" s="129" t="s">
        <v>180</v>
      </c>
      <c r="B20" s="120">
        <v>8000</v>
      </c>
      <c r="C20" s="129" t="s">
        <v>249</v>
      </c>
      <c r="D20" s="129" t="s">
        <v>249</v>
      </c>
      <c r="E20" s="129" t="s">
        <v>249</v>
      </c>
      <c r="F20" s="129" t="s">
        <v>249</v>
      </c>
    </row>
    <row r="21" spans="1:26" ht="18.75" customHeight="1">
      <c r="A21" s="129" t="s">
        <v>181</v>
      </c>
      <c r="B21" s="120">
        <v>8000</v>
      </c>
      <c r="C21" s="129" t="s">
        <v>249</v>
      </c>
      <c r="D21" s="129" t="s">
        <v>249</v>
      </c>
      <c r="E21" s="129" t="s">
        <v>249</v>
      </c>
      <c r="F21" s="129" t="s">
        <v>249</v>
      </c>
    </row>
    <row r="22" spans="1:26" ht="18.75" customHeight="1">
      <c r="A22" s="129" t="s">
        <v>182</v>
      </c>
      <c r="B22" s="120">
        <v>8000</v>
      </c>
      <c r="C22" s="129" t="s">
        <v>249</v>
      </c>
      <c r="D22" s="129" t="s">
        <v>249</v>
      </c>
      <c r="E22" s="129" t="s">
        <v>249</v>
      </c>
      <c r="F22" s="129" t="s">
        <v>249</v>
      </c>
    </row>
    <row r="23" spans="1:26" ht="18.75" customHeight="1">
      <c r="A23" s="129" t="s">
        <v>183</v>
      </c>
      <c r="B23" s="120">
        <v>8000</v>
      </c>
      <c r="C23" s="129" t="s">
        <v>249</v>
      </c>
      <c r="D23" s="129" t="s">
        <v>249</v>
      </c>
      <c r="E23" s="129" t="s">
        <v>249</v>
      </c>
      <c r="F23" s="129" t="s">
        <v>249</v>
      </c>
    </row>
    <row r="24" spans="1:26" ht="18.75" customHeight="1">
      <c r="A24" s="129" t="s">
        <v>269</v>
      </c>
      <c r="B24" s="120">
        <v>8000</v>
      </c>
      <c r="C24" s="129" t="s">
        <v>270</v>
      </c>
      <c r="D24" s="129" t="s">
        <v>270</v>
      </c>
      <c r="E24" s="129" t="s">
        <v>270</v>
      </c>
      <c r="F24" s="129" t="s">
        <v>270</v>
      </c>
    </row>
    <row r="25" spans="1:26" ht="18.75" customHeight="1">
      <c r="A25" s="129" t="s">
        <v>186</v>
      </c>
      <c r="B25" s="120">
        <v>8000</v>
      </c>
      <c r="C25" s="129" t="s">
        <v>258</v>
      </c>
      <c r="D25" s="129" t="s">
        <v>258</v>
      </c>
      <c r="E25" s="129" t="s">
        <v>258</v>
      </c>
      <c r="F25" s="129" t="s">
        <v>258</v>
      </c>
    </row>
    <row r="26" spans="1:26" ht="48.75" customHeight="1">
      <c r="A26" s="136" t="s">
        <v>187</v>
      </c>
      <c r="B26" s="134" t="s">
        <v>271</v>
      </c>
      <c r="C26" s="136" t="s">
        <v>272</v>
      </c>
      <c r="D26" s="136" t="s">
        <v>273</v>
      </c>
      <c r="E26" s="136" t="s">
        <v>261</v>
      </c>
      <c r="F26" s="136" t="s">
        <v>261</v>
      </c>
      <c r="G26" s="131"/>
      <c r="H26" s="131"/>
      <c r="I26" s="131"/>
      <c r="J26" s="131"/>
      <c r="K26" s="131"/>
      <c r="L26" s="131"/>
      <c r="M26" s="131"/>
      <c r="N26" s="131"/>
      <c r="O26" s="131"/>
      <c r="P26" s="131"/>
      <c r="Q26" s="131"/>
      <c r="R26" s="131"/>
      <c r="S26" s="131"/>
      <c r="T26" s="131"/>
      <c r="U26" s="131"/>
      <c r="V26" s="131"/>
      <c r="W26" s="131"/>
      <c r="X26" s="131"/>
      <c r="Y26" s="131"/>
      <c r="Z26" s="131"/>
    </row>
    <row r="27" spans="1:26" ht="18.75" customHeight="1">
      <c r="A27" s="129" t="s">
        <v>188</v>
      </c>
      <c r="B27" s="120">
        <v>8000</v>
      </c>
      <c r="C27" s="129" t="s">
        <v>249</v>
      </c>
      <c r="D27" s="129" t="s">
        <v>249</v>
      </c>
      <c r="E27" s="129" t="s">
        <v>249</v>
      </c>
      <c r="F27" s="129" t="s">
        <v>249</v>
      </c>
    </row>
    <row r="28" spans="1:26" ht="18.75" customHeight="1">
      <c r="A28" s="129" t="s">
        <v>274</v>
      </c>
      <c r="B28" s="120">
        <v>8000</v>
      </c>
      <c r="C28" s="129" t="s">
        <v>275</v>
      </c>
      <c r="D28" s="129" t="s">
        <v>275</v>
      </c>
      <c r="E28" s="129" t="s">
        <v>275</v>
      </c>
      <c r="F28" s="129" t="s">
        <v>275</v>
      </c>
    </row>
    <row r="29" spans="1:26" ht="18.75" customHeight="1">
      <c r="A29" s="137" t="s">
        <v>190</v>
      </c>
      <c r="B29" s="120">
        <v>8000</v>
      </c>
      <c r="C29" s="137" t="s">
        <v>276</v>
      </c>
      <c r="D29" s="137" t="s">
        <v>277</v>
      </c>
      <c r="E29" s="137" t="s">
        <v>278</v>
      </c>
      <c r="F29" s="129"/>
    </row>
    <row r="30" spans="1:26" ht="18.75" customHeight="1">
      <c r="A30" s="129" t="s">
        <v>191</v>
      </c>
      <c r="B30" s="120">
        <v>8000</v>
      </c>
      <c r="C30" s="129" t="s">
        <v>249</v>
      </c>
      <c r="D30" s="129" t="s">
        <v>249</v>
      </c>
      <c r="E30" s="129" t="s">
        <v>249</v>
      </c>
      <c r="F30" s="129" t="s">
        <v>249</v>
      </c>
    </row>
    <row r="31" spans="1:26" ht="18.75" customHeight="1">
      <c r="A31" s="129" t="s">
        <v>279</v>
      </c>
      <c r="B31" s="120">
        <v>8000</v>
      </c>
      <c r="C31" s="129" t="s">
        <v>280</v>
      </c>
      <c r="D31" s="129" t="s">
        <v>280</v>
      </c>
      <c r="E31" s="129" t="s">
        <v>280</v>
      </c>
      <c r="F31" s="129" t="s">
        <v>280</v>
      </c>
    </row>
    <row r="32" spans="1:26" ht="18.75" customHeight="1">
      <c r="A32" s="129" t="s">
        <v>193</v>
      </c>
      <c r="B32" s="120">
        <v>8000</v>
      </c>
      <c r="C32" s="129" t="s">
        <v>280</v>
      </c>
      <c r="D32" s="129" t="s">
        <v>280</v>
      </c>
      <c r="E32" s="129" t="s">
        <v>280</v>
      </c>
      <c r="F32" s="129" t="s">
        <v>280</v>
      </c>
    </row>
    <row r="33" spans="1:6" ht="18.75" customHeight="1">
      <c r="A33" s="129" t="s">
        <v>281</v>
      </c>
      <c r="B33" s="120">
        <v>8000</v>
      </c>
      <c r="C33" s="129" t="s">
        <v>257</v>
      </c>
      <c r="D33" s="129" t="s">
        <v>257</v>
      </c>
      <c r="E33" s="129" t="s">
        <v>257</v>
      </c>
      <c r="F33" s="129" t="s">
        <v>257</v>
      </c>
    </row>
    <row r="34" spans="1:6" ht="18.75" customHeight="1"/>
    <row r="35" spans="1:6" ht="18.75" customHeight="1"/>
    <row r="36" spans="1:6" ht="18.75" customHeight="1"/>
    <row r="37" spans="1:6" ht="18.75" customHeight="1"/>
    <row r="38" spans="1:6" ht="18.75" customHeight="1"/>
    <row r="39" spans="1:6" ht="18.75" customHeight="1">
      <c r="B39" s="58"/>
    </row>
    <row r="40" spans="1:6" ht="18.75" customHeight="1">
      <c r="B40" s="58"/>
    </row>
    <row r="41" spans="1:6" ht="18.75" customHeight="1">
      <c r="B41" s="58"/>
    </row>
    <row r="42" spans="1:6" ht="18.75" customHeight="1">
      <c r="B42" s="58"/>
    </row>
    <row r="43" spans="1:6" ht="18.75" customHeight="1">
      <c r="B43" s="58"/>
    </row>
    <row r="44" spans="1:6" ht="18.75" customHeight="1">
      <c r="B44" s="58"/>
    </row>
    <row r="45" spans="1:6" ht="18.75" customHeight="1">
      <c r="B45" s="58"/>
    </row>
    <row r="46" spans="1:6" ht="18.75" customHeight="1">
      <c r="B46" s="58"/>
    </row>
    <row r="47" spans="1:6" ht="18.75" customHeight="1">
      <c r="B47" s="58"/>
    </row>
    <row r="48" spans="1:6" ht="18.75" customHeight="1">
      <c r="B48" s="58"/>
    </row>
    <row r="49" spans="2:2" ht="18.75" customHeight="1">
      <c r="B49" s="58"/>
    </row>
    <row r="50" spans="2:2" ht="18.75" customHeight="1">
      <c r="B50" s="58"/>
    </row>
    <row r="51" spans="2:2" ht="18.75" customHeight="1">
      <c r="B51" s="58"/>
    </row>
    <row r="52" spans="2:2" ht="18.75" customHeight="1">
      <c r="B52" s="58"/>
    </row>
    <row r="53" spans="2:2" ht="18.75" customHeight="1">
      <c r="B53" s="58"/>
    </row>
    <row r="54" spans="2:2" ht="18.75" customHeight="1">
      <c r="B54" s="58"/>
    </row>
    <row r="55" spans="2:2" ht="18.75" customHeight="1">
      <c r="B55" s="58"/>
    </row>
    <row r="56" spans="2:2" ht="18.75" customHeight="1">
      <c r="B56" s="58"/>
    </row>
    <row r="57" spans="2:2" ht="18.75" customHeight="1">
      <c r="B57" s="58"/>
    </row>
    <row r="58" spans="2:2" ht="18.75" customHeight="1">
      <c r="B58" s="58"/>
    </row>
    <row r="59" spans="2:2" ht="18.75" customHeight="1">
      <c r="B59" s="58"/>
    </row>
    <row r="60" spans="2:2" ht="18.75" customHeight="1">
      <c r="B60" s="58"/>
    </row>
    <row r="61" spans="2:2" ht="18.75" customHeight="1">
      <c r="B61" s="58"/>
    </row>
    <row r="62" spans="2:2" ht="18.75" customHeight="1">
      <c r="B62" s="58"/>
    </row>
    <row r="63" spans="2:2" ht="18.75" customHeight="1">
      <c r="B63" s="58"/>
    </row>
    <row r="64" spans="2:2" ht="18.75" customHeight="1">
      <c r="B64" s="58"/>
    </row>
    <row r="65" spans="2:2" ht="18.75" customHeight="1">
      <c r="B65" s="58"/>
    </row>
    <row r="66" spans="2:2" ht="18.75" customHeight="1">
      <c r="B66" s="58"/>
    </row>
    <row r="67" spans="2:2" ht="18.75" customHeight="1">
      <c r="B67" s="58"/>
    </row>
    <row r="68" spans="2:2" ht="18.75" customHeight="1">
      <c r="B68" s="58"/>
    </row>
    <row r="69" spans="2:2" ht="18.75" customHeight="1">
      <c r="B69" s="58"/>
    </row>
    <row r="70" spans="2:2" ht="18.75" customHeight="1">
      <c r="B70" s="58"/>
    </row>
    <row r="71" spans="2:2" ht="18.75" customHeight="1">
      <c r="B71" s="58"/>
    </row>
    <row r="72" spans="2:2" ht="18.75" customHeight="1">
      <c r="B72" s="58"/>
    </row>
    <row r="73" spans="2:2" ht="18.75" customHeight="1">
      <c r="B73" s="58"/>
    </row>
    <row r="74" spans="2:2" ht="18.75" customHeight="1">
      <c r="B74" s="58"/>
    </row>
    <row r="75" spans="2:2" ht="18.75" customHeight="1">
      <c r="B75" s="58"/>
    </row>
    <row r="76" spans="2:2" ht="18.75" customHeight="1">
      <c r="B76" s="58"/>
    </row>
    <row r="77" spans="2:2" ht="18.75" customHeight="1">
      <c r="B77" s="58"/>
    </row>
    <row r="78" spans="2:2" ht="18.75" customHeight="1">
      <c r="B78" s="58"/>
    </row>
    <row r="79" spans="2:2" ht="18.75" customHeight="1">
      <c r="B79" s="58"/>
    </row>
    <row r="80" spans="2:2" ht="18.75" customHeight="1">
      <c r="B80" s="58"/>
    </row>
    <row r="81" spans="2:2" ht="18.75" customHeight="1">
      <c r="B81" s="58"/>
    </row>
    <row r="82" spans="2:2" ht="18.75" customHeight="1">
      <c r="B82" s="58"/>
    </row>
    <row r="83" spans="2:2" ht="18.75" customHeight="1">
      <c r="B83" s="58"/>
    </row>
    <row r="84" spans="2:2" ht="18.75" customHeight="1">
      <c r="B84" s="58"/>
    </row>
    <row r="85" spans="2:2" ht="18.75" customHeight="1">
      <c r="B85" s="58"/>
    </row>
    <row r="86" spans="2:2" ht="18.75" customHeight="1">
      <c r="B86" s="58"/>
    </row>
    <row r="87" spans="2:2" ht="18.75" customHeight="1">
      <c r="B87" s="58"/>
    </row>
    <row r="88" spans="2:2" ht="18.75" customHeight="1">
      <c r="B88" s="58"/>
    </row>
    <row r="89" spans="2:2" ht="18.75" customHeight="1">
      <c r="B89" s="58"/>
    </row>
    <row r="90" spans="2:2" ht="18.75" customHeight="1">
      <c r="B90" s="58"/>
    </row>
    <row r="91" spans="2:2" ht="18.75" customHeight="1">
      <c r="B91" s="58"/>
    </row>
    <row r="92" spans="2:2" ht="18.75" customHeight="1">
      <c r="B92" s="58"/>
    </row>
    <row r="93" spans="2:2" ht="18.75" customHeight="1">
      <c r="B93" s="58"/>
    </row>
    <row r="94" spans="2:2" ht="18.75" customHeight="1">
      <c r="B94" s="58"/>
    </row>
    <row r="95" spans="2:2" ht="18.75" customHeight="1">
      <c r="B95" s="58"/>
    </row>
    <row r="96" spans="2:2" ht="18.75" customHeight="1">
      <c r="B96" s="58"/>
    </row>
    <row r="97" spans="2:2" ht="18.75" customHeight="1">
      <c r="B97" s="58"/>
    </row>
    <row r="98" spans="2:2" ht="18.75" customHeight="1">
      <c r="B98" s="58"/>
    </row>
    <row r="99" spans="2:2" ht="18.75" customHeight="1">
      <c r="B99" s="58"/>
    </row>
    <row r="100" spans="2:2" ht="18.75" customHeight="1">
      <c r="B100" s="58"/>
    </row>
    <row r="101" spans="2:2" ht="18.75" customHeight="1">
      <c r="B101" s="58"/>
    </row>
    <row r="102" spans="2:2" ht="18.75" customHeight="1">
      <c r="B102" s="58"/>
    </row>
    <row r="103" spans="2:2" ht="18.75" customHeight="1">
      <c r="B103" s="58"/>
    </row>
    <row r="104" spans="2:2" ht="18.75" customHeight="1">
      <c r="B104" s="58"/>
    </row>
    <row r="105" spans="2:2" ht="18.75" customHeight="1">
      <c r="B105" s="58"/>
    </row>
    <row r="106" spans="2:2" ht="18.75" customHeight="1">
      <c r="B106" s="58"/>
    </row>
    <row r="107" spans="2:2" ht="18.75" customHeight="1">
      <c r="B107" s="58"/>
    </row>
    <row r="108" spans="2:2" ht="18.75" customHeight="1">
      <c r="B108" s="58"/>
    </row>
    <row r="109" spans="2:2" ht="18.75" customHeight="1">
      <c r="B109" s="58"/>
    </row>
    <row r="110" spans="2:2" ht="18.75" customHeight="1">
      <c r="B110" s="58"/>
    </row>
    <row r="111" spans="2:2" ht="18.75" customHeight="1">
      <c r="B111" s="58"/>
    </row>
    <row r="112" spans="2:2" ht="18.75" customHeight="1">
      <c r="B112" s="58"/>
    </row>
    <row r="113" spans="2:2" ht="18.75" customHeight="1">
      <c r="B113" s="58"/>
    </row>
    <row r="114" spans="2:2" ht="18.75" customHeight="1">
      <c r="B114" s="58"/>
    </row>
    <row r="115" spans="2:2" ht="18.75" customHeight="1">
      <c r="B115" s="58"/>
    </row>
    <row r="116" spans="2:2" ht="18.75" customHeight="1">
      <c r="B116" s="58"/>
    </row>
    <row r="117" spans="2:2" ht="18.75" customHeight="1">
      <c r="B117" s="58"/>
    </row>
    <row r="118" spans="2:2" ht="18.75" customHeight="1">
      <c r="B118" s="58"/>
    </row>
    <row r="119" spans="2:2" ht="18.75" customHeight="1">
      <c r="B119" s="58"/>
    </row>
    <row r="120" spans="2:2" ht="18.75" customHeight="1">
      <c r="B120" s="58"/>
    </row>
    <row r="121" spans="2:2" ht="18.75" customHeight="1">
      <c r="B121" s="58"/>
    </row>
    <row r="122" spans="2:2" ht="18.75" customHeight="1">
      <c r="B122" s="58"/>
    </row>
    <row r="123" spans="2:2" ht="18.75" customHeight="1">
      <c r="B123" s="58"/>
    </row>
    <row r="124" spans="2:2" ht="18.75" customHeight="1">
      <c r="B124" s="58"/>
    </row>
    <row r="125" spans="2:2" ht="18.75" customHeight="1">
      <c r="B125" s="58"/>
    </row>
    <row r="126" spans="2:2" ht="18.75" customHeight="1">
      <c r="B126" s="58"/>
    </row>
    <row r="127" spans="2:2" ht="18.75" customHeight="1">
      <c r="B127" s="58"/>
    </row>
    <row r="128" spans="2:2" ht="18.75" customHeight="1">
      <c r="B128" s="58"/>
    </row>
    <row r="129" spans="2:2" ht="18.75" customHeight="1">
      <c r="B129" s="58"/>
    </row>
    <row r="130" spans="2:2" ht="18.75" customHeight="1">
      <c r="B130" s="58"/>
    </row>
    <row r="131" spans="2:2" ht="18.75" customHeight="1">
      <c r="B131" s="58"/>
    </row>
    <row r="132" spans="2:2" ht="18.75" customHeight="1">
      <c r="B132" s="58"/>
    </row>
    <row r="133" spans="2:2" ht="18.75" customHeight="1">
      <c r="B133" s="58"/>
    </row>
    <row r="134" spans="2:2" ht="18.75" customHeight="1">
      <c r="B134" s="58"/>
    </row>
    <row r="135" spans="2:2" ht="18.75" customHeight="1">
      <c r="B135" s="58"/>
    </row>
    <row r="136" spans="2:2" ht="18.75" customHeight="1">
      <c r="B136" s="58"/>
    </row>
    <row r="137" spans="2:2" ht="18.75" customHeight="1">
      <c r="B137" s="58"/>
    </row>
    <row r="138" spans="2:2" ht="18.75" customHeight="1">
      <c r="B138" s="58"/>
    </row>
    <row r="139" spans="2:2" ht="18.75" customHeight="1">
      <c r="B139" s="58"/>
    </row>
    <row r="140" spans="2:2" ht="18.75" customHeight="1">
      <c r="B140" s="58"/>
    </row>
    <row r="141" spans="2:2" ht="18.75" customHeight="1">
      <c r="B141" s="58"/>
    </row>
    <row r="142" spans="2:2" ht="18.75" customHeight="1">
      <c r="B142" s="58"/>
    </row>
    <row r="143" spans="2:2" ht="18.75" customHeight="1">
      <c r="B143" s="58"/>
    </row>
    <row r="144" spans="2:2" ht="18.75" customHeight="1">
      <c r="B144" s="58"/>
    </row>
    <row r="145" spans="2:2" ht="18.75" customHeight="1">
      <c r="B145" s="58"/>
    </row>
    <row r="146" spans="2:2" ht="18.75" customHeight="1">
      <c r="B146" s="58"/>
    </row>
    <row r="147" spans="2:2" ht="18.75" customHeight="1">
      <c r="B147" s="58"/>
    </row>
    <row r="148" spans="2:2" ht="18.75" customHeight="1">
      <c r="B148" s="58"/>
    </row>
    <row r="149" spans="2:2" ht="18.75" customHeight="1">
      <c r="B149" s="58"/>
    </row>
    <row r="150" spans="2:2" ht="18.75" customHeight="1">
      <c r="B150" s="58"/>
    </row>
    <row r="151" spans="2:2" ht="18.75" customHeight="1">
      <c r="B151" s="58"/>
    </row>
    <row r="152" spans="2:2" ht="18.75" customHeight="1">
      <c r="B152" s="58"/>
    </row>
    <row r="153" spans="2:2" ht="18.75" customHeight="1">
      <c r="B153" s="58"/>
    </row>
    <row r="154" spans="2:2" ht="18.75" customHeight="1">
      <c r="B154" s="58"/>
    </row>
    <row r="155" spans="2:2" ht="18.75" customHeight="1">
      <c r="B155" s="58"/>
    </row>
    <row r="156" spans="2:2" ht="18.75" customHeight="1">
      <c r="B156" s="58"/>
    </row>
    <row r="157" spans="2:2" ht="18.75" customHeight="1">
      <c r="B157" s="58"/>
    </row>
    <row r="158" spans="2:2" ht="18.75" customHeight="1">
      <c r="B158" s="58"/>
    </row>
    <row r="159" spans="2:2" ht="18.75" customHeight="1">
      <c r="B159" s="58"/>
    </row>
    <row r="160" spans="2:2" ht="18.75" customHeight="1">
      <c r="B160" s="58"/>
    </row>
    <row r="161" spans="2:2" ht="18.75" customHeight="1">
      <c r="B161" s="58"/>
    </row>
    <row r="162" spans="2:2" ht="18.75" customHeight="1">
      <c r="B162" s="58"/>
    </row>
    <row r="163" spans="2:2" ht="18.75" customHeight="1">
      <c r="B163" s="58"/>
    </row>
    <row r="164" spans="2:2" ht="18.75" customHeight="1">
      <c r="B164" s="58"/>
    </row>
    <row r="165" spans="2:2" ht="18.75" customHeight="1">
      <c r="B165" s="58"/>
    </row>
    <row r="166" spans="2:2" ht="18.75" customHeight="1">
      <c r="B166" s="58"/>
    </row>
    <row r="167" spans="2:2" ht="18.75" customHeight="1">
      <c r="B167" s="58"/>
    </row>
    <row r="168" spans="2:2" ht="18.75" customHeight="1">
      <c r="B168" s="58"/>
    </row>
    <row r="169" spans="2:2" ht="18.75" customHeight="1">
      <c r="B169" s="58"/>
    </row>
    <row r="170" spans="2:2" ht="18.75" customHeight="1">
      <c r="B170" s="58"/>
    </row>
    <row r="171" spans="2:2" ht="18.75" customHeight="1">
      <c r="B171" s="58"/>
    </row>
    <row r="172" spans="2:2" ht="18.75" customHeight="1">
      <c r="B172" s="58"/>
    </row>
    <row r="173" spans="2:2" ht="18.75" customHeight="1">
      <c r="B173" s="58"/>
    </row>
    <row r="174" spans="2:2" ht="18.75" customHeight="1">
      <c r="B174" s="58"/>
    </row>
    <row r="175" spans="2:2" ht="18.75" customHeight="1">
      <c r="B175" s="58"/>
    </row>
    <row r="176" spans="2:2" ht="18.75" customHeight="1">
      <c r="B176" s="58"/>
    </row>
    <row r="177" spans="2:2" ht="18.75" customHeight="1">
      <c r="B177" s="58"/>
    </row>
    <row r="178" spans="2:2" ht="18.75" customHeight="1">
      <c r="B178" s="58"/>
    </row>
    <row r="179" spans="2:2" ht="18.75" customHeight="1">
      <c r="B179" s="58"/>
    </row>
    <row r="180" spans="2:2" ht="18.75" customHeight="1">
      <c r="B180" s="58"/>
    </row>
    <row r="181" spans="2:2" ht="18.75" customHeight="1">
      <c r="B181" s="58"/>
    </row>
    <row r="182" spans="2:2" ht="18.75" customHeight="1">
      <c r="B182" s="58"/>
    </row>
    <row r="183" spans="2:2" ht="18.75" customHeight="1">
      <c r="B183" s="58"/>
    </row>
    <row r="184" spans="2:2" ht="18.75" customHeight="1">
      <c r="B184" s="58"/>
    </row>
    <row r="185" spans="2:2" ht="18.75" customHeight="1">
      <c r="B185" s="58"/>
    </row>
    <row r="186" spans="2:2" ht="18.75" customHeight="1">
      <c r="B186" s="58"/>
    </row>
    <row r="187" spans="2:2" ht="18.75" customHeight="1">
      <c r="B187" s="58"/>
    </row>
    <row r="188" spans="2:2" ht="18.75" customHeight="1">
      <c r="B188" s="58"/>
    </row>
    <row r="189" spans="2:2" ht="18.75" customHeight="1">
      <c r="B189" s="58"/>
    </row>
    <row r="190" spans="2:2" ht="18.75" customHeight="1">
      <c r="B190" s="58"/>
    </row>
    <row r="191" spans="2:2" ht="18.75" customHeight="1">
      <c r="B191" s="58"/>
    </row>
    <row r="192" spans="2:2" ht="18.75" customHeight="1">
      <c r="B192" s="58"/>
    </row>
    <row r="193" spans="2:2" ht="18.75" customHeight="1">
      <c r="B193" s="58"/>
    </row>
    <row r="194" spans="2:2" ht="18.75" customHeight="1">
      <c r="B194" s="58"/>
    </row>
    <row r="195" spans="2:2" ht="18.75" customHeight="1">
      <c r="B195" s="58"/>
    </row>
    <row r="196" spans="2:2" ht="18.75" customHeight="1">
      <c r="B196" s="58"/>
    </row>
    <row r="197" spans="2:2" ht="18.75" customHeight="1">
      <c r="B197" s="58"/>
    </row>
    <row r="198" spans="2:2" ht="18.75" customHeight="1">
      <c r="B198" s="58"/>
    </row>
    <row r="199" spans="2:2" ht="18.75" customHeight="1">
      <c r="B199" s="58"/>
    </row>
    <row r="200" spans="2:2" ht="18.75" customHeight="1">
      <c r="B200" s="58"/>
    </row>
    <row r="201" spans="2:2" ht="18.75" customHeight="1">
      <c r="B201" s="58"/>
    </row>
    <row r="202" spans="2:2" ht="18.75" customHeight="1">
      <c r="B202" s="58"/>
    </row>
    <row r="203" spans="2:2" ht="18.75" customHeight="1">
      <c r="B203" s="58"/>
    </row>
    <row r="204" spans="2:2" ht="18.75" customHeight="1">
      <c r="B204" s="58"/>
    </row>
    <row r="205" spans="2:2" ht="18.75" customHeight="1">
      <c r="B205" s="58"/>
    </row>
    <row r="206" spans="2:2" ht="18.75" customHeight="1">
      <c r="B206" s="58"/>
    </row>
    <row r="207" spans="2:2" ht="18.75" customHeight="1">
      <c r="B207" s="58"/>
    </row>
    <row r="208" spans="2:2" ht="18.75" customHeight="1">
      <c r="B208" s="58"/>
    </row>
    <row r="209" spans="2:2" ht="18.75" customHeight="1">
      <c r="B209" s="58"/>
    </row>
    <row r="210" spans="2:2" ht="18.75" customHeight="1">
      <c r="B210" s="58"/>
    </row>
    <row r="211" spans="2:2" ht="18.75" customHeight="1">
      <c r="B211" s="58"/>
    </row>
    <row r="212" spans="2:2" ht="18.75" customHeight="1">
      <c r="B212" s="58"/>
    </row>
    <row r="213" spans="2:2" ht="18.75" customHeight="1">
      <c r="B213" s="58"/>
    </row>
    <row r="214" spans="2:2" ht="18.75" customHeight="1">
      <c r="B214" s="58"/>
    </row>
    <row r="215" spans="2:2" ht="18.75" customHeight="1">
      <c r="B215" s="58"/>
    </row>
    <row r="216" spans="2:2" ht="18.75" customHeight="1">
      <c r="B216" s="58"/>
    </row>
    <row r="217" spans="2:2" ht="18.75" customHeight="1">
      <c r="B217" s="58"/>
    </row>
    <row r="218" spans="2:2" ht="18.75" customHeight="1">
      <c r="B218" s="58"/>
    </row>
    <row r="219" spans="2:2" ht="18.75" customHeight="1">
      <c r="B219" s="58"/>
    </row>
    <row r="220" spans="2:2" ht="18.75" customHeight="1">
      <c r="B220" s="58"/>
    </row>
    <row r="221" spans="2:2" ht="18.75" customHeight="1">
      <c r="B221" s="58"/>
    </row>
    <row r="222" spans="2:2" ht="18.75" customHeight="1">
      <c r="B222" s="58"/>
    </row>
    <row r="223" spans="2:2" ht="18.75" customHeight="1">
      <c r="B223" s="58"/>
    </row>
    <row r="224" spans="2:2" ht="18.75" customHeight="1">
      <c r="B224" s="58"/>
    </row>
    <row r="225" spans="2:2" ht="18.75" customHeight="1">
      <c r="B225" s="58"/>
    </row>
    <row r="226" spans="2:2" ht="18.75" customHeight="1">
      <c r="B226" s="58"/>
    </row>
    <row r="227" spans="2:2" ht="18.75" customHeight="1">
      <c r="B227" s="58"/>
    </row>
    <row r="228" spans="2:2" ht="18.75" customHeight="1">
      <c r="B228" s="58"/>
    </row>
    <row r="229" spans="2:2" ht="18.75" customHeight="1">
      <c r="B229" s="58"/>
    </row>
    <row r="230" spans="2:2" ht="18.75" customHeight="1">
      <c r="B230" s="58"/>
    </row>
    <row r="231" spans="2:2" ht="18.75" customHeight="1">
      <c r="B231" s="58"/>
    </row>
    <row r="232" spans="2:2" ht="18.75" customHeight="1">
      <c r="B232" s="58"/>
    </row>
    <row r="233" spans="2:2" ht="18.75" customHeight="1">
      <c r="B233" s="58"/>
    </row>
    <row r="234" spans="2:2" ht="18.75" customHeight="1">
      <c r="B234" s="58"/>
    </row>
    <row r="235" spans="2:2" ht="18.75" customHeight="1">
      <c r="B235" s="58"/>
    </row>
    <row r="236" spans="2:2" ht="18.75" customHeight="1">
      <c r="B236" s="58"/>
    </row>
    <row r="237" spans="2:2" ht="18.75" customHeight="1">
      <c r="B237" s="58"/>
    </row>
    <row r="238" spans="2:2" ht="18.75" customHeight="1">
      <c r="B238" s="58"/>
    </row>
    <row r="239" spans="2:2" ht="18.75" customHeight="1">
      <c r="B239" s="58"/>
    </row>
    <row r="240" spans="2:2" ht="18.75" customHeight="1">
      <c r="B240" s="58"/>
    </row>
    <row r="241" spans="2:2" ht="18.75" customHeight="1">
      <c r="B241" s="58"/>
    </row>
    <row r="242" spans="2:2" ht="18.75" customHeight="1">
      <c r="B242" s="58"/>
    </row>
    <row r="243" spans="2:2" ht="18.75" customHeight="1">
      <c r="B243" s="58"/>
    </row>
    <row r="244" spans="2:2" ht="18.75" customHeight="1">
      <c r="B244" s="58"/>
    </row>
    <row r="245" spans="2:2" ht="18.75" customHeight="1">
      <c r="B245" s="58"/>
    </row>
    <row r="246" spans="2:2" ht="18.75" customHeight="1">
      <c r="B246" s="58"/>
    </row>
    <row r="247" spans="2:2" ht="18.75" customHeight="1">
      <c r="B247" s="58"/>
    </row>
    <row r="248" spans="2:2" ht="18.75" customHeight="1">
      <c r="B248" s="58"/>
    </row>
    <row r="249" spans="2:2" ht="18.75" customHeight="1">
      <c r="B249" s="58"/>
    </row>
    <row r="250" spans="2:2" ht="18.75" customHeight="1">
      <c r="B250" s="58"/>
    </row>
    <row r="251" spans="2:2" ht="18.75" customHeight="1">
      <c r="B251" s="58"/>
    </row>
    <row r="252" spans="2:2" ht="18.75" customHeight="1">
      <c r="B252" s="58"/>
    </row>
    <row r="253" spans="2:2" ht="18.75" customHeight="1">
      <c r="B253" s="58"/>
    </row>
    <row r="254" spans="2:2" ht="18.75" customHeight="1">
      <c r="B254" s="58"/>
    </row>
    <row r="255" spans="2:2" ht="18.75" customHeight="1">
      <c r="B255" s="58"/>
    </row>
    <row r="256" spans="2:2" ht="18.75" customHeight="1">
      <c r="B256" s="58"/>
    </row>
    <row r="257" spans="2:2" ht="18.75" customHeight="1">
      <c r="B257" s="58"/>
    </row>
    <row r="258" spans="2:2" ht="18.75" customHeight="1">
      <c r="B258" s="58"/>
    </row>
    <row r="259" spans="2:2" ht="18.75" customHeight="1">
      <c r="B259" s="58"/>
    </row>
    <row r="260" spans="2:2" ht="18.75" customHeight="1">
      <c r="B260" s="58"/>
    </row>
    <row r="261" spans="2:2" ht="18.75" customHeight="1">
      <c r="B261" s="58"/>
    </row>
    <row r="262" spans="2:2" ht="18.75" customHeight="1">
      <c r="B262" s="58"/>
    </row>
    <row r="263" spans="2:2" ht="18.75" customHeight="1">
      <c r="B263" s="58"/>
    </row>
    <row r="264" spans="2:2" ht="18.75" customHeight="1">
      <c r="B264" s="58"/>
    </row>
    <row r="265" spans="2:2" ht="18.75" customHeight="1">
      <c r="B265" s="58"/>
    </row>
    <row r="266" spans="2:2" ht="18.75" customHeight="1">
      <c r="B266" s="58"/>
    </row>
    <row r="267" spans="2:2" ht="18.75" customHeight="1">
      <c r="B267" s="58"/>
    </row>
    <row r="268" spans="2:2" ht="18.75" customHeight="1">
      <c r="B268" s="58"/>
    </row>
    <row r="269" spans="2:2" ht="18.75" customHeight="1">
      <c r="B269" s="58"/>
    </row>
    <row r="270" spans="2:2" ht="18.75" customHeight="1">
      <c r="B270" s="58"/>
    </row>
    <row r="271" spans="2:2" ht="18.75" customHeight="1">
      <c r="B271" s="58"/>
    </row>
    <row r="272" spans="2:2" ht="18.75" customHeight="1">
      <c r="B272" s="58"/>
    </row>
    <row r="273" spans="2:2" ht="18.75" customHeight="1">
      <c r="B273" s="58"/>
    </row>
    <row r="274" spans="2:2" ht="18.75" customHeight="1">
      <c r="B274" s="58"/>
    </row>
    <row r="275" spans="2:2" ht="18.75" customHeight="1">
      <c r="B275" s="58"/>
    </row>
    <row r="276" spans="2:2" ht="18.75" customHeight="1">
      <c r="B276" s="58"/>
    </row>
    <row r="277" spans="2:2" ht="18.75" customHeight="1">
      <c r="B277" s="58"/>
    </row>
    <row r="278" spans="2:2" ht="18.75" customHeight="1">
      <c r="B278" s="58"/>
    </row>
    <row r="279" spans="2:2" ht="18.75" customHeight="1">
      <c r="B279" s="58"/>
    </row>
    <row r="280" spans="2:2" ht="18.75" customHeight="1">
      <c r="B280" s="58"/>
    </row>
    <row r="281" spans="2:2" ht="18.75" customHeight="1">
      <c r="B281" s="58"/>
    </row>
    <row r="282" spans="2:2" ht="18.75" customHeight="1">
      <c r="B282" s="58"/>
    </row>
    <row r="283" spans="2:2" ht="18.75" customHeight="1">
      <c r="B283" s="58"/>
    </row>
    <row r="284" spans="2:2" ht="18.75" customHeight="1">
      <c r="B284" s="58"/>
    </row>
    <row r="285" spans="2:2" ht="18.75" customHeight="1">
      <c r="B285" s="58"/>
    </row>
    <row r="286" spans="2:2" ht="18.75" customHeight="1">
      <c r="B286" s="58"/>
    </row>
    <row r="287" spans="2:2" ht="18.75" customHeight="1">
      <c r="B287" s="58"/>
    </row>
    <row r="288" spans="2:2" ht="18.75" customHeight="1">
      <c r="B288" s="58"/>
    </row>
    <row r="289" spans="2:2" ht="18.75" customHeight="1">
      <c r="B289" s="58"/>
    </row>
    <row r="290" spans="2:2" ht="18.75" customHeight="1">
      <c r="B290" s="58"/>
    </row>
    <row r="291" spans="2:2" ht="18.75" customHeight="1">
      <c r="B291" s="58"/>
    </row>
    <row r="292" spans="2:2" ht="18.75" customHeight="1">
      <c r="B292" s="58"/>
    </row>
    <row r="293" spans="2:2" ht="18.75" customHeight="1">
      <c r="B293" s="58"/>
    </row>
    <row r="294" spans="2:2" ht="18.75" customHeight="1">
      <c r="B294" s="58"/>
    </row>
    <row r="295" spans="2:2" ht="18.75" customHeight="1">
      <c r="B295" s="58"/>
    </row>
    <row r="296" spans="2:2" ht="18.75" customHeight="1">
      <c r="B296" s="58"/>
    </row>
    <row r="297" spans="2:2" ht="18.75" customHeight="1">
      <c r="B297" s="58"/>
    </row>
    <row r="298" spans="2:2" ht="18.75" customHeight="1">
      <c r="B298" s="58"/>
    </row>
    <row r="299" spans="2:2" ht="18.75" customHeight="1">
      <c r="B299" s="58"/>
    </row>
    <row r="300" spans="2:2" ht="18.75" customHeight="1">
      <c r="B300" s="58"/>
    </row>
    <row r="301" spans="2:2" ht="18.75" customHeight="1">
      <c r="B301" s="58"/>
    </row>
    <row r="302" spans="2:2" ht="18.75" customHeight="1">
      <c r="B302" s="58"/>
    </row>
    <row r="303" spans="2:2" ht="18.75" customHeight="1">
      <c r="B303" s="58"/>
    </row>
    <row r="304" spans="2:2" ht="18.75" customHeight="1">
      <c r="B304" s="58"/>
    </row>
    <row r="305" spans="2:2" ht="18.75" customHeight="1">
      <c r="B305" s="58"/>
    </row>
    <row r="306" spans="2:2" ht="18.75" customHeight="1">
      <c r="B306" s="58"/>
    </row>
    <row r="307" spans="2:2" ht="18.75" customHeight="1">
      <c r="B307" s="58"/>
    </row>
    <row r="308" spans="2:2" ht="18.75" customHeight="1">
      <c r="B308" s="58"/>
    </row>
    <row r="309" spans="2:2" ht="18.75" customHeight="1">
      <c r="B309" s="58"/>
    </row>
    <row r="310" spans="2:2" ht="18.75" customHeight="1">
      <c r="B310" s="58"/>
    </row>
    <row r="311" spans="2:2" ht="18.75" customHeight="1">
      <c r="B311" s="58"/>
    </row>
    <row r="312" spans="2:2" ht="18.75" customHeight="1">
      <c r="B312" s="58"/>
    </row>
    <row r="313" spans="2:2" ht="18.75" customHeight="1">
      <c r="B313" s="58"/>
    </row>
    <row r="314" spans="2:2" ht="18.75" customHeight="1">
      <c r="B314" s="58"/>
    </row>
    <row r="315" spans="2:2" ht="18.75" customHeight="1">
      <c r="B315" s="58"/>
    </row>
    <row r="316" spans="2:2" ht="18.75" customHeight="1">
      <c r="B316" s="58"/>
    </row>
    <row r="317" spans="2:2" ht="18.75" customHeight="1">
      <c r="B317" s="58"/>
    </row>
    <row r="318" spans="2:2" ht="18.75" customHeight="1">
      <c r="B318" s="58"/>
    </row>
    <row r="319" spans="2:2" ht="18.75" customHeight="1">
      <c r="B319" s="58"/>
    </row>
    <row r="320" spans="2:2" ht="18.75" customHeight="1">
      <c r="B320" s="58"/>
    </row>
    <row r="321" spans="2:2" ht="18.75" customHeight="1">
      <c r="B321" s="58"/>
    </row>
    <row r="322" spans="2:2" ht="18.75" customHeight="1">
      <c r="B322" s="58"/>
    </row>
    <row r="323" spans="2:2" ht="18.75" customHeight="1">
      <c r="B323" s="58"/>
    </row>
    <row r="324" spans="2:2" ht="18.75" customHeight="1">
      <c r="B324" s="58"/>
    </row>
    <row r="325" spans="2:2" ht="18.75" customHeight="1">
      <c r="B325" s="58"/>
    </row>
    <row r="326" spans="2:2" ht="18.75" customHeight="1">
      <c r="B326" s="58"/>
    </row>
    <row r="327" spans="2:2" ht="18.75" customHeight="1">
      <c r="B327" s="58"/>
    </row>
    <row r="328" spans="2:2" ht="18.75" customHeight="1">
      <c r="B328" s="58"/>
    </row>
    <row r="329" spans="2:2" ht="18.75" customHeight="1">
      <c r="B329" s="58"/>
    </row>
    <row r="330" spans="2:2" ht="18.75" customHeight="1">
      <c r="B330" s="58"/>
    </row>
    <row r="331" spans="2:2" ht="18.75" customHeight="1">
      <c r="B331" s="58"/>
    </row>
    <row r="332" spans="2:2" ht="18.75" customHeight="1">
      <c r="B332" s="58"/>
    </row>
    <row r="333" spans="2:2" ht="18.75" customHeight="1">
      <c r="B333" s="58"/>
    </row>
    <row r="334" spans="2:2" ht="18.75" customHeight="1">
      <c r="B334" s="58"/>
    </row>
    <row r="335" spans="2:2" ht="18.75" customHeight="1">
      <c r="B335" s="58"/>
    </row>
    <row r="336" spans="2:2" ht="18.75" customHeight="1">
      <c r="B336" s="58"/>
    </row>
    <row r="337" spans="2:2" ht="18.75" customHeight="1">
      <c r="B337" s="58"/>
    </row>
    <row r="338" spans="2:2" ht="18.75" customHeight="1">
      <c r="B338" s="58"/>
    </row>
    <row r="339" spans="2:2" ht="18.75" customHeight="1">
      <c r="B339" s="58"/>
    </row>
    <row r="340" spans="2:2" ht="18.75" customHeight="1">
      <c r="B340" s="58"/>
    </row>
    <row r="341" spans="2:2" ht="18.75" customHeight="1">
      <c r="B341" s="58"/>
    </row>
    <row r="342" spans="2:2" ht="18.75" customHeight="1">
      <c r="B342" s="58"/>
    </row>
    <row r="343" spans="2:2" ht="18.75" customHeight="1">
      <c r="B343" s="58"/>
    </row>
    <row r="344" spans="2:2" ht="18.75" customHeight="1">
      <c r="B344" s="58"/>
    </row>
    <row r="345" spans="2:2" ht="18.75" customHeight="1">
      <c r="B345" s="58"/>
    </row>
    <row r="346" spans="2:2" ht="18.75" customHeight="1">
      <c r="B346" s="58"/>
    </row>
    <row r="347" spans="2:2" ht="18.75" customHeight="1">
      <c r="B347" s="58"/>
    </row>
    <row r="348" spans="2:2" ht="18.75" customHeight="1">
      <c r="B348" s="58"/>
    </row>
    <row r="349" spans="2:2" ht="18.75" customHeight="1">
      <c r="B349" s="58"/>
    </row>
    <row r="350" spans="2:2" ht="18.75" customHeight="1">
      <c r="B350" s="58"/>
    </row>
    <row r="351" spans="2:2" ht="18.75" customHeight="1">
      <c r="B351" s="58"/>
    </row>
    <row r="352" spans="2:2" ht="18.75" customHeight="1">
      <c r="B352" s="58"/>
    </row>
    <row r="353" spans="2:2" ht="18.75" customHeight="1">
      <c r="B353" s="58"/>
    </row>
    <row r="354" spans="2:2" ht="18.75" customHeight="1">
      <c r="B354" s="58"/>
    </row>
    <row r="355" spans="2:2" ht="18.75" customHeight="1">
      <c r="B355" s="58"/>
    </row>
    <row r="356" spans="2:2" ht="18.75" customHeight="1">
      <c r="B356" s="58"/>
    </row>
    <row r="357" spans="2:2" ht="18.75" customHeight="1">
      <c r="B357" s="58"/>
    </row>
    <row r="358" spans="2:2" ht="18.75" customHeight="1">
      <c r="B358" s="58"/>
    </row>
    <row r="359" spans="2:2" ht="18.75" customHeight="1">
      <c r="B359" s="58"/>
    </row>
    <row r="360" spans="2:2" ht="18.75" customHeight="1">
      <c r="B360" s="58"/>
    </row>
    <row r="361" spans="2:2" ht="18.75" customHeight="1">
      <c r="B361" s="58"/>
    </row>
    <row r="362" spans="2:2" ht="18.75" customHeight="1">
      <c r="B362" s="58"/>
    </row>
    <row r="363" spans="2:2" ht="18.75" customHeight="1">
      <c r="B363" s="58"/>
    </row>
    <row r="364" spans="2:2" ht="18.75" customHeight="1">
      <c r="B364" s="58"/>
    </row>
    <row r="365" spans="2:2" ht="18.75" customHeight="1">
      <c r="B365" s="58"/>
    </row>
    <row r="366" spans="2:2" ht="18.75" customHeight="1">
      <c r="B366" s="58"/>
    </row>
    <row r="367" spans="2:2" ht="18.75" customHeight="1">
      <c r="B367" s="58"/>
    </row>
    <row r="368" spans="2:2" ht="18.75" customHeight="1">
      <c r="B368" s="58"/>
    </row>
    <row r="369" spans="2:2" ht="18.75" customHeight="1">
      <c r="B369" s="58"/>
    </row>
    <row r="370" spans="2:2" ht="18.75" customHeight="1">
      <c r="B370" s="58"/>
    </row>
    <row r="371" spans="2:2" ht="18.75" customHeight="1">
      <c r="B371" s="58"/>
    </row>
    <row r="372" spans="2:2" ht="18.75" customHeight="1">
      <c r="B372" s="58"/>
    </row>
    <row r="373" spans="2:2" ht="18.75" customHeight="1">
      <c r="B373" s="58"/>
    </row>
    <row r="374" spans="2:2" ht="18.75" customHeight="1">
      <c r="B374" s="58"/>
    </row>
    <row r="375" spans="2:2" ht="18.75" customHeight="1">
      <c r="B375" s="58"/>
    </row>
    <row r="376" spans="2:2" ht="18.75" customHeight="1">
      <c r="B376" s="58"/>
    </row>
    <row r="377" spans="2:2" ht="18.75" customHeight="1">
      <c r="B377" s="58"/>
    </row>
    <row r="378" spans="2:2" ht="18.75" customHeight="1">
      <c r="B378" s="58"/>
    </row>
    <row r="379" spans="2:2" ht="18.75" customHeight="1">
      <c r="B379" s="58"/>
    </row>
    <row r="380" spans="2:2" ht="18.75" customHeight="1">
      <c r="B380" s="58"/>
    </row>
    <row r="381" spans="2:2" ht="18.75" customHeight="1">
      <c r="B381" s="58"/>
    </row>
    <row r="382" spans="2:2" ht="18.75" customHeight="1">
      <c r="B382" s="58"/>
    </row>
    <row r="383" spans="2:2" ht="18.75" customHeight="1">
      <c r="B383" s="58"/>
    </row>
    <row r="384" spans="2:2" ht="18.75" customHeight="1">
      <c r="B384" s="58"/>
    </row>
    <row r="385" spans="2:2" ht="18.75" customHeight="1">
      <c r="B385" s="58"/>
    </row>
    <row r="386" spans="2:2" ht="18.75" customHeight="1">
      <c r="B386" s="58"/>
    </row>
    <row r="387" spans="2:2" ht="18.75" customHeight="1">
      <c r="B387" s="58"/>
    </row>
    <row r="388" spans="2:2" ht="18.75" customHeight="1">
      <c r="B388" s="58"/>
    </row>
    <row r="389" spans="2:2" ht="18.75" customHeight="1">
      <c r="B389" s="58"/>
    </row>
    <row r="390" spans="2:2" ht="18.75" customHeight="1">
      <c r="B390" s="58"/>
    </row>
    <row r="391" spans="2:2" ht="18.75" customHeight="1">
      <c r="B391" s="58"/>
    </row>
    <row r="392" spans="2:2" ht="18.75" customHeight="1">
      <c r="B392" s="58"/>
    </row>
    <row r="393" spans="2:2" ht="18.75" customHeight="1">
      <c r="B393" s="58"/>
    </row>
    <row r="394" spans="2:2" ht="18.75" customHeight="1">
      <c r="B394" s="58"/>
    </row>
    <row r="395" spans="2:2" ht="18.75" customHeight="1">
      <c r="B395" s="58"/>
    </row>
    <row r="396" spans="2:2" ht="18.75" customHeight="1">
      <c r="B396" s="58"/>
    </row>
    <row r="397" spans="2:2" ht="18.75" customHeight="1">
      <c r="B397" s="58"/>
    </row>
    <row r="398" spans="2:2" ht="18.75" customHeight="1">
      <c r="B398" s="58"/>
    </row>
    <row r="399" spans="2:2" ht="18.75" customHeight="1">
      <c r="B399" s="58"/>
    </row>
    <row r="400" spans="2:2" ht="18.75" customHeight="1">
      <c r="B400" s="58"/>
    </row>
    <row r="401" spans="2:2" ht="18.75" customHeight="1">
      <c r="B401" s="58"/>
    </row>
    <row r="402" spans="2:2" ht="18.75" customHeight="1">
      <c r="B402" s="58"/>
    </row>
    <row r="403" spans="2:2" ht="18.75" customHeight="1">
      <c r="B403" s="58"/>
    </row>
    <row r="404" spans="2:2" ht="18.75" customHeight="1">
      <c r="B404" s="58"/>
    </row>
    <row r="405" spans="2:2" ht="18.75" customHeight="1">
      <c r="B405" s="58"/>
    </row>
    <row r="406" spans="2:2" ht="18.75" customHeight="1">
      <c r="B406" s="58"/>
    </row>
    <row r="407" spans="2:2" ht="18.75" customHeight="1">
      <c r="B407" s="58"/>
    </row>
    <row r="408" spans="2:2" ht="18.75" customHeight="1">
      <c r="B408" s="58"/>
    </row>
    <row r="409" spans="2:2" ht="18.75" customHeight="1">
      <c r="B409" s="58"/>
    </row>
    <row r="410" spans="2:2" ht="18.75" customHeight="1">
      <c r="B410" s="58"/>
    </row>
    <row r="411" spans="2:2" ht="18.75" customHeight="1">
      <c r="B411" s="58"/>
    </row>
    <row r="412" spans="2:2" ht="18.75" customHeight="1">
      <c r="B412" s="58"/>
    </row>
    <row r="413" spans="2:2" ht="18.75" customHeight="1">
      <c r="B413" s="58"/>
    </row>
    <row r="414" spans="2:2" ht="18.75" customHeight="1">
      <c r="B414" s="58"/>
    </row>
    <row r="415" spans="2:2" ht="18.75" customHeight="1">
      <c r="B415" s="58"/>
    </row>
    <row r="416" spans="2:2" ht="18.75" customHeight="1">
      <c r="B416" s="58"/>
    </row>
    <row r="417" spans="2:2" ht="18.75" customHeight="1">
      <c r="B417" s="58"/>
    </row>
    <row r="418" spans="2:2" ht="18.75" customHeight="1">
      <c r="B418" s="58"/>
    </row>
    <row r="419" spans="2:2" ht="18.75" customHeight="1">
      <c r="B419" s="58"/>
    </row>
    <row r="420" spans="2:2" ht="18.75" customHeight="1">
      <c r="B420" s="58"/>
    </row>
    <row r="421" spans="2:2" ht="18.75" customHeight="1">
      <c r="B421" s="58"/>
    </row>
    <row r="422" spans="2:2" ht="18.75" customHeight="1">
      <c r="B422" s="58"/>
    </row>
    <row r="423" spans="2:2" ht="18.75" customHeight="1">
      <c r="B423" s="58"/>
    </row>
    <row r="424" spans="2:2" ht="18.75" customHeight="1">
      <c r="B424" s="58"/>
    </row>
    <row r="425" spans="2:2" ht="18.75" customHeight="1">
      <c r="B425" s="58"/>
    </row>
    <row r="426" spans="2:2" ht="18.75" customHeight="1">
      <c r="B426" s="58"/>
    </row>
    <row r="427" spans="2:2" ht="18.75" customHeight="1">
      <c r="B427" s="58"/>
    </row>
    <row r="428" spans="2:2" ht="18.75" customHeight="1">
      <c r="B428" s="58"/>
    </row>
    <row r="429" spans="2:2" ht="18.75" customHeight="1">
      <c r="B429" s="58"/>
    </row>
    <row r="430" spans="2:2" ht="18.75" customHeight="1">
      <c r="B430" s="58"/>
    </row>
    <row r="431" spans="2:2" ht="18.75" customHeight="1">
      <c r="B431" s="58"/>
    </row>
    <row r="432" spans="2:2" ht="18.75" customHeight="1">
      <c r="B432" s="58"/>
    </row>
    <row r="433" spans="2:2" ht="18.75" customHeight="1">
      <c r="B433" s="58"/>
    </row>
    <row r="434" spans="2:2" ht="18.75" customHeight="1">
      <c r="B434" s="58"/>
    </row>
    <row r="435" spans="2:2" ht="18.75" customHeight="1">
      <c r="B435" s="58"/>
    </row>
    <row r="436" spans="2:2" ht="18.75" customHeight="1">
      <c r="B436" s="58"/>
    </row>
    <row r="437" spans="2:2" ht="18.75" customHeight="1">
      <c r="B437" s="58"/>
    </row>
    <row r="438" spans="2:2" ht="18.75" customHeight="1">
      <c r="B438" s="58"/>
    </row>
    <row r="439" spans="2:2" ht="18.75" customHeight="1">
      <c r="B439" s="58"/>
    </row>
    <row r="440" spans="2:2" ht="18.75" customHeight="1">
      <c r="B440" s="58"/>
    </row>
    <row r="441" spans="2:2" ht="18.75" customHeight="1">
      <c r="B441" s="58"/>
    </row>
    <row r="442" spans="2:2" ht="18.75" customHeight="1">
      <c r="B442" s="58"/>
    </row>
    <row r="443" spans="2:2" ht="18.75" customHeight="1">
      <c r="B443" s="58"/>
    </row>
    <row r="444" spans="2:2" ht="18.75" customHeight="1">
      <c r="B444" s="58"/>
    </row>
    <row r="445" spans="2:2" ht="18.75" customHeight="1">
      <c r="B445" s="58"/>
    </row>
    <row r="446" spans="2:2" ht="18.75" customHeight="1">
      <c r="B446" s="58"/>
    </row>
    <row r="447" spans="2:2" ht="18.75" customHeight="1">
      <c r="B447" s="58"/>
    </row>
    <row r="448" spans="2:2" ht="18.75" customHeight="1">
      <c r="B448" s="58"/>
    </row>
    <row r="449" spans="2:2" ht="18.75" customHeight="1">
      <c r="B449" s="58"/>
    </row>
    <row r="450" spans="2:2" ht="18.75" customHeight="1">
      <c r="B450" s="58"/>
    </row>
    <row r="451" spans="2:2" ht="18.75" customHeight="1">
      <c r="B451" s="58"/>
    </row>
    <row r="452" spans="2:2" ht="18.75" customHeight="1">
      <c r="B452" s="58"/>
    </row>
    <row r="453" spans="2:2" ht="18.75" customHeight="1">
      <c r="B453" s="58"/>
    </row>
    <row r="454" spans="2:2" ht="18.75" customHeight="1">
      <c r="B454" s="58"/>
    </row>
    <row r="455" spans="2:2" ht="18.75" customHeight="1">
      <c r="B455" s="58"/>
    </row>
    <row r="456" spans="2:2" ht="18.75" customHeight="1">
      <c r="B456" s="58"/>
    </row>
    <row r="457" spans="2:2" ht="18.75" customHeight="1">
      <c r="B457" s="58"/>
    </row>
    <row r="458" spans="2:2" ht="18.75" customHeight="1">
      <c r="B458" s="58"/>
    </row>
    <row r="459" spans="2:2" ht="18.75" customHeight="1">
      <c r="B459" s="58"/>
    </row>
    <row r="460" spans="2:2" ht="18.75" customHeight="1">
      <c r="B460" s="58"/>
    </row>
    <row r="461" spans="2:2" ht="18.75" customHeight="1">
      <c r="B461" s="58"/>
    </row>
    <row r="462" spans="2:2" ht="18.75" customHeight="1">
      <c r="B462" s="58"/>
    </row>
    <row r="463" spans="2:2" ht="18.75" customHeight="1">
      <c r="B463" s="58"/>
    </row>
    <row r="464" spans="2:2" ht="18.75" customHeight="1">
      <c r="B464" s="58"/>
    </row>
    <row r="465" spans="2:2" ht="18.75" customHeight="1">
      <c r="B465" s="58"/>
    </row>
    <row r="466" spans="2:2" ht="18.75" customHeight="1">
      <c r="B466" s="58"/>
    </row>
    <row r="467" spans="2:2" ht="18.75" customHeight="1">
      <c r="B467" s="58"/>
    </row>
    <row r="468" spans="2:2" ht="18.75" customHeight="1">
      <c r="B468" s="58"/>
    </row>
    <row r="469" spans="2:2" ht="18.75" customHeight="1">
      <c r="B469" s="58"/>
    </row>
    <row r="470" spans="2:2" ht="18.75" customHeight="1">
      <c r="B470" s="58"/>
    </row>
    <row r="471" spans="2:2" ht="18.75" customHeight="1">
      <c r="B471" s="58"/>
    </row>
    <row r="472" spans="2:2" ht="18.75" customHeight="1">
      <c r="B472" s="58"/>
    </row>
    <row r="473" spans="2:2" ht="18.75" customHeight="1">
      <c r="B473" s="58"/>
    </row>
    <row r="474" spans="2:2" ht="18.75" customHeight="1">
      <c r="B474" s="58"/>
    </row>
    <row r="475" spans="2:2" ht="18.75" customHeight="1">
      <c r="B475" s="58"/>
    </row>
    <row r="476" spans="2:2" ht="18.75" customHeight="1">
      <c r="B476" s="58"/>
    </row>
    <row r="477" spans="2:2" ht="18.75" customHeight="1">
      <c r="B477" s="58"/>
    </row>
    <row r="478" spans="2:2" ht="18.75" customHeight="1">
      <c r="B478" s="58"/>
    </row>
    <row r="479" spans="2:2" ht="18.75" customHeight="1">
      <c r="B479" s="58"/>
    </row>
    <row r="480" spans="2:2" ht="18.75" customHeight="1">
      <c r="B480" s="58"/>
    </row>
    <row r="481" spans="2:2" ht="18.75" customHeight="1">
      <c r="B481" s="58"/>
    </row>
    <row r="482" spans="2:2" ht="18.75" customHeight="1">
      <c r="B482" s="58"/>
    </row>
    <row r="483" spans="2:2" ht="18.75" customHeight="1">
      <c r="B483" s="58"/>
    </row>
    <row r="484" spans="2:2" ht="18.75" customHeight="1">
      <c r="B484" s="58"/>
    </row>
    <row r="485" spans="2:2" ht="18.75" customHeight="1">
      <c r="B485" s="58"/>
    </row>
    <row r="486" spans="2:2" ht="18.75" customHeight="1">
      <c r="B486" s="58"/>
    </row>
    <row r="487" spans="2:2" ht="18.75" customHeight="1">
      <c r="B487" s="58"/>
    </row>
    <row r="488" spans="2:2" ht="18.75" customHeight="1">
      <c r="B488" s="58"/>
    </row>
    <row r="489" spans="2:2" ht="18.75" customHeight="1">
      <c r="B489" s="58"/>
    </row>
    <row r="490" spans="2:2" ht="18.75" customHeight="1">
      <c r="B490" s="58"/>
    </row>
    <row r="491" spans="2:2" ht="18.75" customHeight="1">
      <c r="B491" s="58"/>
    </row>
    <row r="492" spans="2:2" ht="18.75" customHeight="1">
      <c r="B492" s="58"/>
    </row>
    <row r="493" spans="2:2" ht="18.75" customHeight="1">
      <c r="B493" s="58"/>
    </row>
    <row r="494" spans="2:2" ht="18.75" customHeight="1">
      <c r="B494" s="58"/>
    </row>
    <row r="495" spans="2:2" ht="18.75" customHeight="1">
      <c r="B495" s="58"/>
    </row>
    <row r="496" spans="2:2" ht="18.75" customHeight="1">
      <c r="B496" s="58"/>
    </row>
    <row r="497" spans="2:2" ht="18.75" customHeight="1">
      <c r="B497" s="58"/>
    </row>
    <row r="498" spans="2:2" ht="18.75" customHeight="1">
      <c r="B498" s="58"/>
    </row>
    <row r="499" spans="2:2" ht="18.75" customHeight="1">
      <c r="B499" s="58"/>
    </row>
    <row r="500" spans="2:2" ht="18.75" customHeight="1">
      <c r="B500" s="58"/>
    </row>
    <row r="501" spans="2:2" ht="18.75" customHeight="1">
      <c r="B501" s="58"/>
    </row>
    <row r="502" spans="2:2" ht="18.75" customHeight="1">
      <c r="B502" s="58"/>
    </row>
    <row r="503" spans="2:2" ht="18.75" customHeight="1">
      <c r="B503" s="58"/>
    </row>
    <row r="504" spans="2:2" ht="18.75" customHeight="1">
      <c r="B504" s="58"/>
    </row>
    <row r="505" spans="2:2" ht="18.75" customHeight="1">
      <c r="B505" s="58"/>
    </row>
    <row r="506" spans="2:2" ht="18.75" customHeight="1">
      <c r="B506" s="58"/>
    </row>
    <row r="507" spans="2:2" ht="18.75" customHeight="1">
      <c r="B507" s="58"/>
    </row>
    <row r="508" spans="2:2" ht="18.75" customHeight="1">
      <c r="B508" s="58"/>
    </row>
    <row r="509" spans="2:2" ht="18.75" customHeight="1">
      <c r="B509" s="58"/>
    </row>
    <row r="510" spans="2:2" ht="18.75" customHeight="1">
      <c r="B510" s="58"/>
    </row>
    <row r="511" spans="2:2" ht="18.75" customHeight="1">
      <c r="B511" s="58"/>
    </row>
    <row r="512" spans="2:2" ht="18.75" customHeight="1">
      <c r="B512" s="58"/>
    </row>
    <row r="513" spans="2:2" ht="18.75" customHeight="1">
      <c r="B513" s="58"/>
    </row>
    <row r="514" spans="2:2" ht="18.75" customHeight="1">
      <c r="B514" s="58"/>
    </row>
    <row r="515" spans="2:2" ht="18.75" customHeight="1">
      <c r="B515" s="58"/>
    </row>
    <row r="516" spans="2:2" ht="18.75" customHeight="1">
      <c r="B516" s="58"/>
    </row>
    <row r="517" spans="2:2" ht="18.75" customHeight="1">
      <c r="B517" s="58"/>
    </row>
    <row r="518" spans="2:2" ht="18.75" customHeight="1">
      <c r="B518" s="58"/>
    </row>
    <row r="519" spans="2:2" ht="18.75" customHeight="1">
      <c r="B519" s="58"/>
    </row>
    <row r="520" spans="2:2" ht="18.75" customHeight="1">
      <c r="B520" s="58"/>
    </row>
    <row r="521" spans="2:2" ht="18.75" customHeight="1">
      <c r="B521" s="58"/>
    </row>
    <row r="522" spans="2:2" ht="18.75" customHeight="1">
      <c r="B522" s="58"/>
    </row>
    <row r="523" spans="2:2" ht="18.75" customHeight="1">
      <c r="B523" s="58"/>
    </row>
    <row r="524" spans="2:2" ht="18.75" customHeight="1">
      <c r="B524" s="58"/>
    </row>
    <row r="525" spans="2:2" ht="18.75" customHeight="1">
      <c r="B525" s="58"/>
    </row>
    <row r="526" spans="2:2" ht="18.75" customHeight="1">
      <c r="B526" s="58"/>
    </row>
    <row r="527" spans="2:2" ht="18.75" customHeight="1">
      <c r="B527" s="58"/>
    </row>
    <row r="528" spans="2:2" ht="18.75" customHeight="1">
      <c r="B528" s="58"/>
    </row>
    <row r="529" spans="2:2" ht="18.75" customHeight="1">
      <c r="B529" s="58"/>
    </row>
    <row r="530" spans="2:2" ht="18.75" customHeight="1">
      <c r="B530" s="58"/>
    </row>
    <row r="531" spans="2:2" ht="18.75" customHeight="1">
      <c r="B531" s="58"/>
    </row>
    <row r="532" spans="2:2" ht="18.75" customHeight="1">
      <c r="B532" s="58"/>
    </row>
    <row r="533" spans="2:2" ht="18.75" customHeight="1">
      <c r="B533" s="58"/>
    </row>
    <row r="534" spans="2:2" ht="18.75" customHeight="1">
      <c r="B534" s="58"/>
    </row>
    <row r="535" spans="2:2" ht="18.75" customHeight="1">
      <c r="B535" s="58"/>
    </row>
    <row r="536" spans="2:2" ht="18.75" customHeight="1">
      <c r="B536" s="58"/>
    </row>
    <row r="537" spans="2:2" ht="18.75" customHeight="1">
      <c r="B537" s="58"/>
    </row>
    <row r="538" spans="2:2" ht="18.75" customHeight="1">
      <c r="B538" s="58"/>
    </row>
    <row r="539" spans="2:2" ht="18.75" customHeight="1">
      <c r="B539" s="58"/>
    </row>
    <row r="540" spans="2:2" ht="18.75" customHeight="1">
      <c r="B540" s="58"/>
    </row>
    <row r="541" spans="2:2" ht="18.75" customHeight="1">
      <c r="B541" s="58"/>
    </row>
    <row r="542" spans="2:2" ht="18.75" customHeight="1">
      <c r="B542" s="58"/>
    </row>
    <row r="543" spans="2:2" ht="18.75" customHeight="1">
      <c r="B543" s="58"/>
    </row>
    <row r="544" spans="2:2" ht="18.75" customHeight="1">
      <c r="B544" s="58"/>
    </row>
    <row r="545" spans="2:2" ht="18.75" customHeight="1">
      <c r="B545" s="58"/>
    </row>
    <row r="546" spans="2:2" ht="18.75" customHeight="1">
      <c r="B546" s="58"/>
    </row>
    <row r="547" spans="2:2" ht="18.75" customHeight="1">
      <c r="B547" s="58"/>
    </row>
    <row r="548" spans="2:2" ht="18.75" customHeight="1">
      <c r="B548" s="58"/>
    </row>
    <row r="549" spans="2:2" ht="18.75" customHeight="1">
      <c r="B549" s="58"/>
    </row>
    <row r="550" spans="2:2" ht="18.75" customHeight="1">
      <c r="B550" s="58"/>
    </row>
    <row r="551" spans="2:2" ht="18.75" customHeight="1">
      <c r="B551" s="58"/>
    </row>
    <row r="552" spans="2:2" ht="18.75" customHeight="1">
      <c r="B552" s="58"/>
    </row>
    <row r="553" spans="2:2" ht="18.75" customHeight="1">
      <c r="B553" s="58"/>
    </row>
    <row r="554" spans="2:2" ht="18.75" customHeight="1">
      <c r="B554" s="58"/>
    </row>
    <row r="555" spans="2:2" ht="18.75" customHeight="1">
      <c r="B555" s="58"/>
    </row>
    <row r="556" spans="2:2" ht="18.75" customHeight="1">
      <c r="B556" s="58"/>
    </row>
    <row r="557" spans="2:2" ht="18.75" customHeight="1">
      <c r="B557" s="58"/>
    </row>
    <row r="558" spans="2:2" ht="18.75" customHeight="1">
      <c r="B558" s="58"/>
    </row>
    <row r="559" spans="2:2" ht="18.75" customHeight="1">
      <c r="B559" s="58"/>
    </row>
    <row r="560" spans="2:2" ht="18.75" customHeight="1">
      <c r="B560" s="58"/>
    </row>
    <row r="561" spans="2:2" ht="18.75" customHeight="1">
      <c r="B561" s="58"/>
    </row>
    <row r="562" spans="2:2" ht="18.75" customHeight="1">
      <c r="B562" s="58"/>
    </row>
    <row r="563" spans="2:2" ht="18.75" customHeight="1">
      <c r="B563" s="58"/>
    </row>
    <row r="564" spans="2:2" ht="18.75" customHeight="1">
      <c r="B564" s="58"/>
    </row>
    <row r="565" spans="2:2" ht="18.75" customHeight="1">
      <c r="B565" s="58"/>
    </row>
    <row r="566" spans="2:2" ht="18.75" customHeight="1">
      <c r="B566" s="58"/>
    </row>
    <row r="567" spans="2:2" ht="18.75" customHeight="1">
      <c r="B567" s="58"/>
    </row>
    <row r="568" spans="2:2" ht="18.75" customHeight="1">
      <c r="B568" s="58"/>
    </row>
    <row r="569" spans="2:2" ht="18.75" customHeight="1">
      <c r="B569" s="58"/>
    </row>
    <row r="570" spans="2:2" ht="18.75" customHeight="1">
      <c r="B570" s="58"/>
    </row>
    <row r="571" spans="2:2" ht="18.75" customHeight="1">
      <c r="B571" s="58"/>
    </row>
    <row r="572" spans="2:2" ht="18.75" customHeight="1">
      <c r="B572" s="58"/>
    </row>
    <row r="573" spans="2:2" ht="18.75" customHeight="1">
      <c r="B573" s="58"/>
    </row>
    <row r="574" spans="2:2" ht="18.75" customHeight="1">
      <c r="B574" s="58"/>
    </row>
    <row r="575" spans="2:2" ht="18.75" customHeight="1">
      <c r="B575" s="58"/>
    </row>
    <row r="576" spans="2:2" ht="18.75" customHeight="1">
      <c r="B576" s="58"/>
    </row>
    <row r="577" spans="2:2" ht="18.75" customHeight="1">
      <c r="B577" s="58"/>
    </row>
    <row r="578" spans="2:2" ht="18.75" customHeight="1">
      <c r="B578" s="58"/>
    </row>
    <row r="579" spans="2:2" ht="18.75" customHeight="1">
      <c r="B579" s="58"/>
    </row>
    <row r="580" spans="2:2" ht="18.75" customHeight="1">
      <c r="B580" s="58"/>
    </row>
    <row r="581" spans="2:2" ht="18.75" customHeight="1">
      <c r="B581" s="58"/>
    </row>
    <row r="582" spans="2:2" ht="18.75" customHeight="1">
      <c r="B582" s="58"/>
    </row>
    <row r="583" spans="2:2" ht="18.75" customHeight="1">
      <c r="B583" s="58"/>
    </row>
    <row r="584" spans="2:2" ht="18.75" customHeight="1">
      <c r="B584" s="58"/>
    </row>
    <row r="585" spans="2:2" ht="18.75" customHeight="1">
      <c r="B585" s="58"/>
    </row>
    <row r="586" spans="2:2" ht="18.75" customHeight="1">
      <c r="B586" s="58"/>
    </row>
    <row r="587" spans="2:2" ht="18.75" customHeight="1">
      <c r="B587" s="58"/>
    </row>
    <row r="588" spans="2:2" ht="18.75" customHeight="1">
      <c r="B588" s="58"/>
    </row>
    <row r="589" spans="2:2" ht="18.75" customHeight="1">
      <c r="B589" s="58"/>
    </row>
    <row r="590" spans="2:2" ht="18.75" customHeight="1">
      <c r="B590" s="58"/>
    </row>
    <row r="591" spans="2:2" ht="18.75" customHeight="1">
      <c r="B591" s="58"/>
    </row>
    <row r="592" spans="2:2" ht="18.75" customHeight="1">
      <c r="B592" s="58"/>
    </row>
    <row r="593" spans="2:2" ht="18.75" customHeight="1">
      <c r="B593" s="58"/>
    </row>
    <row r="594" spans="2:2" ht="18.75" customHeight="1">
      <c r="B594" s="58"/>
    </row>
    <row r="595" spans="2:2" ht="18.75" customHeight="1">
      <c r="B595" s="58"/>
    </row>
    <row r="596" spans="2:2" ht="18.75" customHeight="1">
      <c r="B596" s="58"/>
    </row>
    <row r="597" spans="2:2" ht="18.75" customHeight="1">
      <c r="B597" s="58"/>
    </row>
    <row r="598" spans="2:2" ht="18.75" customHeight="1">
      <c r="B598" s="58"/>
    </row>
    <row r="599" spans="2:2" ht="18.75" customHeight="1">
      <c r="B599" s="58"/>
    </row>
    <row r="600" spans="2:2" ht="18.75" customHeight="1">
      <c r="B600" s="58"/>
    </row>
    <row r="601" spans="2:2" ht="18.75" customHeight="1">
      <c r="B601" s="58"/>
    </row>
    <row r="602" spans="2:2" ht="18.75" customHeight="1">
      <c r="B602" s="58"/>
    </row>
    <row r="603" spans="2:2" ht="18.75" customHeight="1">
      <c r="B603" s="58"/>
    </row>
    <row r="604" spans="2:2" ht="18.75" customHeight="1">
      <c r="B604" s="58"/>
    </row>
    <row r="605" spans="2:2" ht="18.75" customHeight="1">
      <c r="B605" s="58"/>
    </row>
    <row r="606" spans="2:2" ht="18.75" customHeight="1">
      <c r="B606" s="58"/>
    </row>
    <row r="607" spans="2:2" ht="18.75" customHeight="1">
      <c r="B607" s="58"/>
    </row>
    <row r="608" spans="2:2" ht="18.75" customHeight="1">
      <c r="B608" s="58"/>
    </row>
    <row r="609" spans="2:2" ht="18.75" customHeight="1">
      <c r="B609" s="58"/>
    </row>
    <row r="610" spans="2:2" ht="18.75" customHeight="1">
      <c r="B610" s="58"/>
    </row>
    <row r="611" spans="2:2" ht="18.75" customHeight="1">
      <c r="B611" s="58"/>
    </row>
    <row r="612" spans="2:2" ht="18.75" customHeight="1">
      <c r="B612" s="58"/>
    </row>
    <row r="613" spans="2:2" ht="18.75" customHeight="1">
      <c r="B613" s="58"/>
    </row>
    <row r="614" spans="2:2" ht="18.75" customHeight="1">
      <c r="B614" s="58"/>
    </row>
    <row r="615" spans="2:2" ht="18.75" customHeight="1">
      <c r="B615" s="58"/>
    </row>
    <row r="616" spans="2:2" ht="18.75" customHeight="1">
      <c r="B616" s="58"/>
    </row>
    <row r="617" spans="2:2" ht="18.75" customHeight="1">
      <c r="B617" s="58"/>
    </row>
    <row r="618" spans="2:2" ht="18.75" customHeight="1">
      <c r="B618" s="58"/>
    </row>
    <row r="619" spans="2:2" ht="18.75" customHeight="1">
      <c r="B619" s="58"/>
    </row>
    <row r="620" spans="2:2" ht="18.75" customHeight="1">
      <c r="B620" s="58"/>
    </row>
    <row r="621" spans="2:2" ht="18.75" customHeight="1">
      <c r="B621" s="58"/>
    </row>
    <row r="622" spans="2:2" ht="18.75" customHeight="1">
      <c r="B622" s="58"/>
    </row>
    <row r="623" spans="2:2" ht="18.75" customHeight="1">
      <c r="B623" s="58"/>
    </row>
    <row r="624" spans="2:2" ht="18.75" customHeight="1">
      <c r="B624" s="58"/>
    </row>
    <row r="625" spans="2:2" ht="18.75" customHeight="1">
      <c r="B625" s="58"/>
    </row>
    <row r="626" spans="2:2" ht="18.75" customHeight="1">
      <c r="B626" s="58"/>
    </row>
    <row r="627" spans="2:2" ht="18.75" customHeight="1">
      <c r="B627" s="58"/>
    </row>
    <row r="628" spans="2:2" ht="18.75" customHeight="1">
      <c r="B628" s="58"/>
    </row>
    <row r="629" spans="2:2" ht="18.75" customHeight="1">
      <c r="B629" s="58"/>
    </row>
    <row r="630" spans="2:2" ht="18.75" customHeight="1">
      <c r="B630" s="58"/>
    </row>
    <row r="631" spans="2:2" ht="18.75" customHeight="1">
      <c r="B631" s="58"/>
    </row>
    <row r="632" spans="2:2" ht="18.75" customHeight="1">
      <c r="B632" s="58"/>
    </row>
    <row r="633" spans="2:2" ht="18.75" customHeight="1">
      <c r="B633" s="58"/>
    </row>
    <row r="634" spans="2:2" ht="18.75" customHeight="1">
      <c r="B634" s="58"/>
    </row>
    <row r="635" spans="2:2" ht="18.75" customHeight="1">
      <c r="B635" s="58"/>
    </row>
    <row r="636" spans="2:2" ht="18.75" customHeight="1">
      <c r="B636" s="58"/>
    </row>
    <row r="637" spans="2:2" ht="18.75" customHeight="1">
      <c r="B637" s="58"/>
    </row>
    <row r="638" spans="2:2" ht="18.75" customHeight="1">
      <c r="B638" s="58"/>
    </row>
    <row r="639" spans="2:2" ht="18.75" customHeight="1">
      <c r="B639" s="58"/>
    </row>
    <row r="640" spans="2:2" ht="18.75" customHeight="1">
      <c r="B640" s="58"/>
    </row>
    <row r="641" spans="2:2" ht="18.75" customHeight="1">
      <c r="B641" s="58"/>
    </row>
    <row r="642" spans="2:2" ht="18.75" customHeight="1">
      <c r="B642" s="58"/>
    </row>
    <row r="643" spans="2:2" ht="18.75" customHeight="1">
      <c r="B643" s="58"/>
    </row>
    <row r="644" spans="2:2" ht="18.75" customHeight="1">
      <c r="B644" s="58"/>
    </row>
    <row r="645" spans="2:2" ht="18.75" customHeight="1">
      <c r="B645" s="58"/>
    </row>
    <row r="646" spans="2:2" ht="18.75" customHeight="1">
      <c r="B646" s="58"/>
    </row>
    <row r="647" spans="2:2" ht="18.75" customHeight="1">
      <c r="B647" s="58"/>
    </row>
    <row r="648" spans="2:2" ht="18.75" customHeight="1">
      <c r="B648" s="58"/>
    </row>
    <row r="649" spans="2:2" ht="18.75" customHeight="1">
      <c r="B649" s="58"/>
    </row>
    <row r="650" spans="2:2" ht="18.75" customHeight="1">
      <c r="B650" s="58"/>
    </row>
    <row r="651" spans="2:2" ht="18.75" customHeight="1">
      <c r="B651" s="58"/>
    </row>
    <row r="652" spans="2:2" ht="18.75" customHeight="1">
      <c r="B652" s="58"/>
    </row>
    <row r="653" spans="2:2" ht="18.75" customHeight="1">
      <c r="B653" s="58"/>
    </row>
    <row r="654" spans="2:2" ht="18.75" customHeight="1">
      <c r="B654" s="58"/>
    </row>
    <row r="655" spans="2:2" ht="18.75" customHeight="1">
      <c r="B655" s="58"/>
    </row>
    <row r="656" spans="2:2" ht="18.75" customHeight="1">
      <c r="B656" s="58"/>
    </row>
    <row r="657" spans="2:2" ht="18.75" customHeight="1">
      <c r="B657" s="58"/>
    </row>
    <row r="658" spans="2:2" ht="18.75" customHeight="1">
      <c r="B658" s="58"/>
    </row>
    <row r="659" spans="2:2" ht="18.75" customHeight="1">
      <c r="B659" s="58"/>
    </row>
    <row r="660" spans="2:2" ht="18.75" customHeight="1">
      <c r="B660" s="58"/>
    </row>
    <row r="661" spans="2:2" ht="18.75" customHeight="1">
      <c r="B661" s="58"/>
    </row>
    <row r="662" spans="2:2" ht="18.75" customHeight="1">
      <c r="B662" s="58"/>
    </row>
    <row r="663" spans="2:2" ht="18.75" customHeight="1">
      <c r="B663" s="58"/>
    </row>
    <row r="664" spans="2:2" ht="18.75" customHeight="1">
      <c r="B664" s="58"/>
    </row>
    <row r="665" spans="2:2" ht="18.75" customHeight="1">
      <c r="B665" s="58"/>
    </row>
    <row r="666" spans="2:2" ht="18.75" customHeight="1">
      <c r="B666" s="58"/>
    </row>
    <row r="667" spans="2:2" ht="18.75" customHeight="1">
      <c r="B667" s="58"/>
    </row>
    <row r="668" spans="2:2" ht="18.75" customHeight="1">
      <c r="B668" s="58"/>
    </row>
    <row r="669" spans="2:2" ht="18.75" customHeight="1">
      <c r="B669" s="58"/>
    </row>
    <row r="670" spans="2:2" ht="18.75" customHeight="1">
      <c r="B670" s="58"/>
    </row>
    <row r="671" spans="2:2" ht="18.75" customHeight="1">
      <c r="B671" s="58"/>
    </row>
    <row r="672" spans="2:2" ht="18.75" customHeight="1">
      <c r="B672" s="58"/>
    </row>
    <row r="673" spans="2:2" ht="18.75" customHeight="1">
      <c r="B673" s="58"/>
    </row>
    <row r="674" spans="2:2" ht="18.75" customHeight="1">
      <c r="B674" s="58"/>
    </row>
    <row r="675" spans="2:2" ht="18.75" customHeight="1">
      <c r="B675" s="58"/>
    </row>
    <row r="676" spans="2:2" ht="18.75" customHeight="1">
      <c r="B676" s="58"/>
    </row>
    <row r="677" spans="2:2" ht="18.75" customHeight="1">
      <c r="B677" s="58"/>
    </row>
    <row r="678" spans="2:2" ht="18.75" customHeight="1">
      <c r="B678" s="58"/>
    </row>
    <row r="679" spans="2:2" ht="18.75" customHeight="1">
      <c r="B679" s="58"/>
    </row>
    <row r="680" spans="2:2" ht="18.75" customHeight="1">
      <c r="B680" s="58"/>
    </row>
    <row r="681" spans="2:2" ht="18.75" customHeight="1">
      <c r="B681" s="58"/>
    </row>
    <row r="682" spans="2:2" ht="18.75" customHeight="1">
      <c r="B682" s="58"/>
    </row>
    <row r="683" spans="2:2" ht="18.75" customHeight="1">
      <c r="B683" s="58"/>
    </row>
    <row r="684" spans="2:2" ht="18.75" customHeight="1">
      <c r="B684" s="58"/>
    </row>
    <row r="685" spans="2:2" ht="18.75" customHeight="1">
      <c r="B685" s="58"/>
    </row>
    <row r="686" spans="2:2" ht="18.75" customHeight="1">
      <c r="B686" s="58"/>
    </row>
    <row r="687" spans="2:2" ht="18.75" customHeight="1">
      <c r="B687" s="58"/>
    </row>
    <row r="688" spans="2:2" ht="18.75" customHeight="1">
      <c r="B688" s="58"/>
    </row>
    <row r="689" spans="2:2" ht="18.75" customHeight="1">
      <c r="B689" s="58"/>
    </row>
    <row r="690" spans="2:2" ht="18.75" customHeight="1">
      <c r="B690" s="58"/>
    </row>
    <row r="691" spans="2:2" ht="18.75" customHeight="1">
      <c r="B691" s="58"/>
    </row>
    <row r="692" spans="2:2" ht="18.75" customHeight="1">
      <c r="B692" s="58"/>
    </row>
    <row r="693" spans="2:2" ht="18.75" customHeight="1">
      <c r="B693" s="58"/>
    </row>
    <row r="694" spans="2:2" ht="18.75" customHeight="1">
      <c r="B694" s="58"/>
    </row>
    <row r="695" spans="2:2" ht="18.75" customHeight="1">
      <c r="B695" s="58"/>
    </row>
    <row r="696" spans="2:2" ht="18.75" customHeight="1">
      <c r="B696" s="58"/>
    </row>
    <row r="697" spans="2:2" ht="18.75" customHeight="1">
      <c r="B697" s="58"/>
    </row>
    <row r="698" spans="2:2" ht="18.75" customHeight="1">
      <c r="B698" s="58"/>
    </row>
    <row r="699" spans="2:2" ht="18.75" customHeight="1">
      <c r="B699" s="58"/>
    </row>
    <row r="700" spans="2:2" ht="18.75" customHeight="1">
      <c r="B700" s="58"/>
    </row>
    <row r="701" spans="2:2" ht="18.75" customHeight="1">
      <c r="B701" s="58"/>
    </row>
    <row r="702" spans="2:2" ht="18.75" customHeight="1">
      <c r="B702" s="58"/>
    </row>
    <row r="703" spans="2:2" ht="18.75" customHeight="1">
      <c r="B703" s="58"/>
    </row>
    <row r="704" spans="2:2" ht="18.75" customHeight="1">
      <c r="B704" s="58"/>
    </row>
    <row r="705" spans="2:2" ht="18.75" customHeight="1">
      <c r="B705" s="58"/>
    </row>
    <row r="706" spans="2:2" ht="18.75" customHeight="1">
      <c r="B706" s="58"/>
    </row>
    <row r="707" spans="2:2" ht="18.75" customHeight="1">
      <c r="B707" s="58"/>
    </row>
    <row r="708" spans="2:2" ht="18.75" customHeight="1">
      <c r="B708" s="58"/>
    </row>
    <row r="709" spans="2:2" ht="18.75" customHeight="1">
      <c r="B709" s="58"/>
    </row>
    <row r="710" spans="2:2" ht="18.75" customHeight="1">
      <c r="B710" s="58"/>
    </row>
    <row r="711" spans="2:2" ht="18.75" customHeight="1">
      <c r="B711" s="58"/>
    </row>
    <row r="712" spans="2:2" ht="18.75" customHeight="1">
      <c r="B712" s="58"/>
    </row>
    <row r="713" spans="2:2" ht="18.75" customHeight="1">
      <c r="B713" s="58"/>
    </row>
    <row r="714" spans="2:2" ht="18.75" customHeight="1">
      <c r="B714" s="58"/>
    </row>
    <row r="715" spans="2:2" ht="18.75" customHeight="1">
      <c r="B715" s="58"/>
    </row>
    <row r="716" spans="2:2" ht="18.75" customHeight="1">
      <c r="B716" s="58"/>
    </row>
    <row r="717" spans="2:2" ht="18.75" customHeight="1">
      <c r="B717" s="58"/>
    </row>
    <row r="718" spans="2:2" ht="18.75" customHeight="1">
      <c r="B718" s="58"/>
    </row>
    <row r="719" spans="2:2" ht="18.75" customHeight="1">
      <c r="B719" s="58"/>
    </row>
    <row r="720" spans="2:2" ht="18.75" customHeight="1">
      <c r="B720" s="58"/>
    </row>
    <row r="721" spans="2:2" ht="18.75" customHeight="1">
      <c r="B721" s="58"/>
    </row>
    <row r="722" spans="2:2" ht="18.75" customHeight="1">
      <c r="B722" s="58"/>
    </row>
    <row r="723" spans="2:2" ht="18.75" customHeight="1">
      <c r="B723" s="58"/>
    </row>
    <row r="724" spans="2:2" ht="18.75" customHeight="1">
      <c r="B724" s="58"/>
    </row>
    <row r="725" spans="2:2" ht="18.75" customHeight="1">
      <c r="B725" s="58"/>
    </row>
    <row r="726" spans="2:2" ht="18.75" customHeight="1">
      <c r="B726" s="58"/>
    </row>
    <row r="727" spans="2:2" ht="18.75" customHeight="1">
      <c r="B727" s="58"/>
    </row>
    <row r="728" spans="2:2" ht="18.75" customHeight="1">
      <c r="B728" s="58"/>
    </row>
    <row r="729" spans="2:2" ht="18.75" customHeight="1">
      <c r="B729" s="58"/>
    </row>
    <row r="730" spans="2:2" ht="18.75" customHeight="1">
      <c r="B730" s="58"/>
    </row>
    <row r="731" spans="2:2" ht="18.75" customHeight="1">
      <c r="B731" s="58"/>
    </row>
    <row r="732" spans="2:2" ht="18.75" customHeight="1">
      <c r="B732" s="58"/>
    </row>
    <row r="733" spans="2:2" ht="18.75" customHeight="1">
      <c r="B733" s="58"/>
    </row>
    <row r="734" spans="2:2" ht="18.75" customHeight="1">
      <c r="B734" s="58"/>
    </row>
    <row r="735" spans="2:2" ht="18.75" customHeight="1">
      <c r="B735" s="58"/>
    </row>
    <row r="736" spans="2:2" ht="18.75" customHeight="1">
      <c r="B736" s="58"/>
    </row>
    <row r="737" spans="2:2" ht="18.75" customHeight="1">
      <c r="B737" s="58"/>
    </row>
    <row r="738" spans="2:2" ht="18.75" customHeight="1">
      <c r="B738" s="58"/>
    </row>
    <row r="739" spans="2:2" ht="18.75" customHeight="1">
      <c r="B739" s="58"/>
    </row>
    <row r="740" spans="2:2" ht="18.75" customHeight="1">
      <c r="B740" s="58"/>
    </row>
    <row r="741" spans="2:2" ht="18.75" customHeight="1">
      <c r="B741" s="58"/>
    </row>
    <row r="742" spans="2:2" ht="18.75" customHeight="1">
      <c r="B742" s="58"/>
    </row>
    <row r="743" spans="2:2" ht="18.75" customHeight="1">
      <c r="B743" s="58"/>
    </row>
    <row r="744" spans="2:2" ht="18.75" customHeight="1">
      <c r="B744" s="58"/>
    </row>
    <row r="745" spans="2:2" ht="18.75" customHeight="1">
      <c r="B745" s="58"/>
    </row>
    <row r="746" spans="2:2" ht="18.75" customHeight="1">
      <c r="B746" s="58"/>
    </row>
    <row r="747" spans="2:2" ht="18.75" customHeight="1">
      <c r="B747" s="58"/>
    </row>
    <row r="748" spans="2:2" ht="18.75" customHeight="1">
      <c r="B748" s="58"/>
    </row>
    <row r="749" spans="2:2" ht="18.75" customHeight="1">
      <c r="B749" s="58"/>
    </row>
    <row r="750" spans="2:2" ht="18.75" customHeight="1">
      <c r="B750" s="58"/>
    </row>
    <row r="751" spans="2:2" ht="18.75" customHeight="1">
      <c r="B751" s="58"/>
    </row>
    <row r="752" spans="2:2" ht="18.75" customHeight="1">
      <c r="B752" s="58"/>
    </row>
    <row r="753" spans="2:2" ht="18.75" customHeight="1">
      <c r="B753" s="58"/>
    </row>
    <row r="754" spans="2:2" ht="18.75" customHeight="1">
      <c r="B754" s="58"/>
    </row>
    <row r="755" spans="2:2" ht="18.75" customHeight="1">
      <c r="B755" s="58"/>
    </row>
    <row r="756" spans="2:2" ht="18.75" customHeight="1">
      <c r="B756" s="58"/>
    </row>
    <row r="757" spans="2:2" ht="18.75" customHeight="1">
      <c r="B757" s="58"/>
    </row>
    <row r="758" spans="2:2" ht="18.75" customHeight="1">
      <c r="B758" s="58"/>
    </row>
    <row r="759" spans="2:2" ht="18.75" customHeight="1">
      <c r="B759" s="58"/>
    </row>
    <row r="760" spans="2:2" ht="18.75" customHeight="1">
      <c r="B760" s="58"/>
    </row>
    <row r="761" spans="2:2" ht="18.75" customHeight="1">
      <c r="B761" s="58"/>
    </row>
    <row r="762" spans="2:2" ht="18.75" customHeight="1">
      <c r="B762" s="58"/>
    </row>
    <row r="763" spans="2:2" ht="18.75" customHeight="1">
      <c r="B763" s="58"/>
    </row>
    <row r="764" spans="2:2" ht="18.75" customHeight="1">
      <c r="B764" s="58"/>
    </row>
    <row r="765" spans="2:2" ht="18.75" customHeight="1">
      <c r="B765" s="58"/>
    </row>
    <row r="766" spans="2:2" ht="18.75" customHeight="1">
      <c r="B766" s="58"/>
    </row>
    <row r="767" spans="2:2" ht="18.75" customHeight="1">
      <c r="B767" s="58"/>
    </row>
    <row r="768" spans="2:2" ht="18.75" customHeight="1">
      <c r="B768" s="58"/>
    </row>
    <row r="769" spans="2:2" ht="18.75" customHeight="1">
      <c r="B769" s="58"/>
    </row>
    <row r="770" spans="2:2" ht="18.75" customHeight="1">
      <c r="B770" s="58"/>
    </row>
    <row r="771" spans="2:2" ht="18.75" customHeight="1">
      <c r="B771" s="58"/>
    </row>
    <row r="772" spans="2:2" ht="18.75" customHeight="1">
      <c r="B772" s="58"/>
    </row>
    <row r="773" spans="2:2" ht="18.75" customHeight="1">
      <c r="B773" s="58"/>
    </row>
    <row r="774" spans="2:2" ht="18.75" customHeight="1">
      <c r="B774" s="58"/>
    </row>
    <row r="775" spans="2:2" ht="18.75" customHeight="1">
      <c r="B775" s="58"/>
    </row>
    <row r="776" spans="2:2" ht="18.75" customHeight="1">
      <c r="B776" s="58"/>
    </row>
    <row r="777" spans="2:2" ht="18.75" customHeight="1">
      <c r="B777" s="58"/>
    </row>
    <row r="778" spans="2:2" ht="18.75" customHeight="1">
      <c r="B778" s="58"/>
    </row>
    <row r="779" spans="2:2" ht="18.75" customHeight="1">
      <c r="B779" s="58"/>
    </row>
    <row r="780" spans="2:2" ht="18.75" customHeight="1">
      <c r="B780" s="58"/>
    </row>
    <row r="781" spans="2:2" ht="18.75" customHeight="1">
      <c r="B781" s="58"/>
    </row>
    <row r="782" spans="2:2" ht="18.75" customHeight="1">
      <c r="B782" s="58"/>
    </row>
    <row r="783" spans="2:2" ht="18.75" customHeight="1">
      <c r="B783" s="58"/>
    </row>
    <row r="784" spans="2:2" ht="18.75" customHeight="1">
      <c r="B784" s="58"/>
    </row>
    <row r="785" spans="2:2" ht="18.75" customHeight="1">
      <c r="B785" s="58"/>
    </row>
    <row r="786" spans="2:2" ht="18.75" customHeight="1">
      <c r="B786" s="58"/>
    </row>
    <row r="787" spans="2:2" ht="18.75" customHeight="1">
      <c r="B787" s="58"/>
    </row>
    <row r="788" spans="2:2" ht="18.75" customHeight="1">
      <c r="B788" s="58"/>
    </row>
    <row r="789" spans="2:2" ht="18.75" customHeight="1">
      <c r="B789" s="58"/>
    </row>
    <row r="790" spans="2:2" ht="18.75" customHeight="1">
      <c r="B790" s="58"/>
    </row>
    <row r="791" spans="2:2" ht="18.75" customHeight="1">
      <c r="B791" s="58"/>
    </row>
    <row r="792" spans="2:2" ht="18.75" customHeight="1">
      <c r="B792" s="58"/>
    </row>
    <row r="793" spans="2:2" ht="18.75" customHeight="1">
      <c r="B793" s="58"/>
    </row>
    <row r="794" spans="2:2" ht="18.75" customHeight="1">
      <c r="B794" s="58"/>
    </row>
    <row r="795" spans="2:2" ht="18.75" customHeight="1">
      <c r="B795" s="58"/>
    </row>
    <row r="796" spans="2:2" ht="18.75" customHeight="1">
      <c r="B796" s="58"/>
    </row>
    <row r="797" spans="2:2" ht="18.75" customHeight="1">
      <c r="B797" s="58"/>
    </row>
    <row r="798" spans="2:2" ht="18.75" customHeight="1">
      <c r="B798" s="58"/>
    </row>
    <row r="799" spans="2:2" ht="18.75" customHeight="1">
      <c r="B799" s="58"/>
    </row>
    <row r="800" spans="2:2" ht="18.75" customHeight="1">
      <c r="B800" s="58"/>
    </row>
    <row r="801" spans="2:2" ht="18.75" customHeight="1">
      <c r="B801" s="58"/>
    </row>
    <row r="802" spans="2:2" ht="18.75" customHeight="1">
      <c r="B802" s="58"/>
    </row>
    <row r="803" spans="2:2" ht="18.75" customHeight="1">
      <c r="B803" s="58"/>
    </row>
    <row r="804" spans="2:2" ht="18.75" customHeight="1">
      <c r="B804" s="58"/>
    </row>
    <row r="805" spans="2:2" ht="18.75" customHeight="1">
      <c r="B805" s="58"/>
    </row>
    <row r="806" spans="2:2" ht="18.75" customHeight="1">
      <c r="B806" s="58"/>
    </row>
    <row r="807" spans="2:2" ht="18.75" customHeight="1">
      <c r="B807" s="58"/>
    </row>
    <row r="808" spans="2:2" ht="18.75" customHeight="1">
      <c r="B808" s="58"/>
    </row>
    <row r="809" spans="2:2" ht="18.75" customHeight="1">
      <c r="B809" s="58"/>
    </row>
    <row r="810" spans="2:2" ht="18.75" customHeight="1">
      <c r="B810" s="58"/>
    </row>
    <row r="811" spans="2:2" ht="18.75" customHeight="1">
      <c r="B811" s="58"/>
    </row>
    <row r="812" spans="2:2" ht="18.75" customHeight="1">
      <c r="B812" s="58"/>
    </row>
    <row r="813" spans="2:2" ht="18.75" customHeight="1">
      <c r="B813" s="58"/>
    </row>
    <row r="814" spans="2:2" ht="18.75" customHeight="1">
      <c r="B814" s="58"/>
    </row>
    <row r="815" spans="2:2" ht="18.75" customHeight="1">
      <c r="B815" s="58"/>
    </row>
    <row r="816" spans="2:2" ht="18.75" customHeight="1">
      <c r="B816" s="58"/>
    </row>
    <row r="817" spans="2:2" ht="18.75" customHeight="1">
      <c r="B817" s="58"/>
    </row>
    <row r="818" spans="2:2" ht="18.75" customHeight="1">
      <c r="B818" s="58"/>
    </row>
    <row r="819" spans="2:2" ht="18.75" customHeight="1">
      <c r="B819" s="58"/>
    </row>
    <row r="820" spans="2:2" ht="18.75" customHeight="1">
      <c r="B820" s="58"/>
    </row>
    <row r="821" spans="2:2" ht="18.75" customHeight="1">
      <c r="B821" s="58"/>
    </row>
    <row r="822" spans="2:2" ht="18.75" customHeight="1">
      <c r="B822" s="58"/>
    </row>
    <row r="823" spans="2:2" ht="18.75" customHeight="1">
      <c r="B823" s="58"/>
    </row>
    <row r="824" spans="2:2" ht="18.75" customHeight="1">
      <c r="B824" s="58"/>
    </row>
    <row r="825" spans="2:2" ht="18.75" customHeight="1">
      <c r="B825" s="58"/>
    </row>
    <row r="826" spans="2:2" ht="18.75" customHeight="1">
      <c r="B826" s="58"/>
    </row>
    <row r="827" spans="2:2" ht="18.75" customHeight="1">
      <c r="B827" s="58"/>
    </row>
    <row r="828" spans="2:2" ht="18.75" customHeight="1">
      <c r="B828" s="58"/>
    </row>
    <row r="829" spans="2:2" ht="18.75" customHeight="1">
      <c r="B829" s="58"/>
    </row>
    <row r="830" spans="2:2" ht="18.75" customHeight="1">
      <c r="B830" s="58"/>
    </row>
    <row r="831" spans="2:2" ht="18.75" customHeight="1">
      <c r="B831" s="58"/>
    </row>
    <row r="832" spans="2:2" ht="18.75" customHeight="1">
      <c r="B832" s="58"/>
    </row>
    <row r="833" spans="2:2" ht="18.75" customHeight="1">
      <c r="B833" s="58"/>
    </row>
    <row r="834" spans="2:2" ht="18.75" customHeight="1">
      <c r="B834" s="58"/>
    </row>
    <row r="835" spans="2:2" ht="18.75" customHeight="1">
      <c r="B835" s="58"/>
    </row>
    <row r="836" spans="2:2" ht="18.75" customHeight="1">
      <c r="B836" s="58"/>
    </row>
    <row r="837" spans="2:2" ht="18.75" customHeight="1">
      <c r="B837" s="58"/>
    </row>
    <row r="838" spans="2:2" ht="18.75" customHeight="1">
      <c r="B838" s="58"/>
    </row>
    <row r="839" spans="2:2" ht="18.75" customHeight="1">
      <c r="B839" s="58"/>
    </row>
    <row r="840" spans="2:2" ht="18.75" customHeight="1">
      <c r="B840" s="58"/>
    </row>
    <row r="841" spans="2:2" ht="18.75" customHeight="1">
      <c r="B841" s="58"/>
    </row>
    <row r="842" spans="2:2" ht="18.75" customHeight="1">
      <c r="B842" s="58"/>
    </row>
    <row r="843" spans="2:2" ht="18.75" customHeight="1">
      <c r="B843" s="58"/>
    </row>
    <row r="844" spans="2:2" ht="18.75" customHeight="1">
      <c r="B844" s="58"/>
    </row>
    <row r="845" spans="2:2" ht="18.75" customHeight="1">
      <c r="B845" s="58"/>
    </row>
    <row r="846" spans="2:2" ht="18.75" customHeight="1">
      <c r="B846" s="58"/>
    </row>
    <row r="847" spans="2:2" ht="18.75" customHeight="1">
      <c r="B847" s="58"/>
    </row>
    <row r="848" spans="2:2" ht="18.75" customHeight="1">
      <c r="B848" s="58"/>
    </row>
    <row r="849" spans="2:2" ht="18.75" customHeight="1">
      <c r="B849" s="58"/>
    </row>
    <row r="850" spans="2:2" ht="18.75" customHeight="1">
      <c r="B850" s="58"/>
    </row>
    <row r="851" spans="2:2" ht="18.75" customHeight="1">
      <c r="B851" s="58"/>
    </row>
    <row r="852" spans="2:2" ht="18.75" customHeight="1">
      <c r="B852" s="58"/>
    </row>
    <row r="853" spans="2:2" ht="18.75" customHeight="1">
      <c r="B853" s="58"/>
    </row>
    <row r="854" spans="2:2" ht="18.75" customHeight="1">
      <c r="B854" s="58"/>
    </row>
    <row r="855" spans="2:2" ht="18.75" customHeight="1">
      <c r="B855" s="58"/>
    </row>
    <row r="856" spans="2:2" ht="18.75" customHeight="1">
      <c r="B856" s="58"/>
    </row>
    <row r="857" spans="2:2" ht="18.75" customHeight="1">
      <c r="B857" s="58"/>
    </row>
    <row r="858" spans="2:2" ht="18.75" customHeight="1">
      <c r="B858" s="58"/>
    </row>
    <row r="859" spans="2:2" ht="18.75" customHeight="1">
      <c r="B859" s="58"/>
    </row>
    <row r="860" spans="2:2" ht="18.75" customHeight="1">
      <c r="B860" s="58"/>
    </row>
    <row r="861" spans="2:2" ht="18.75" customHeight="1">
      <c r="B861" s="58"/>
    </row>
    <row r="862" spans="2:2" ht="18.75" customHeight="1">
      <c r="B862" s="58"/>
    </row>
    <row r="863" spans="2:2" ht="18.75" customHeight="1">
      <c r="B863" s="58"/>
    </row>
    <row r="864" spans="2:2" ht="18.75" customHeight="1">
      <c r="B864" s="58"/>
    </row>
    <row r="865" spans="2:2" ht="18.75" customHeight="1">
      <c r="B865" s="58"/>
    </row>
    <row r="866" spans="2:2" ht="18.75" customHeight="1">
      <c r="B866" s="58"/>
    </row>
    <row r="867" spans="2:2" ht="18.75" customHeight="1">
      <c r="B867" s="58"/>
    </row>
    <row r="868" spans="2:2" ht="18.75" customHeight="1">
      <c r="B868" s="58"/>
    </row>
    <row r="869" spans="2:2" ht="18.75" customHeight="1">
      <c r="B869" s="58"/>
    </row>
    <row r="870" spans="2:2" ht="18.75" customHeight="1">
      <c r="B870" s="58"/>
    </row>
    <row r="871" spans="2:2" ht="18.75" customHeight="1">
      <c r="B871" s="58"/>
    </row>
    <row r="872" spans="2:2" ht="18.75" customHeight="1">
      <c r="B872" s="58"/>
    </row>
    <row r="873" spans="2:2" ht="18.75" customHeight="1">
      <c r="B873" s="58"/>
    </row>
    <row r="874" spans="2:2" ht="18.75" customHeight="1">
      <c r="B874" s="58"/>
    </row>
    <row r="875" spans="2:2" ht="18.75" customHeight="1">
      <c r="B875" s="58"/>
    </row>
    <row r="876" spans="2:2" ht="18.75" customHeight="1">
      <c r="B876" s="58"/>
    </row>
    <row r="877" spans="2:2" ht="18.75" customHeight="1">
      <c r="B877" s="58"/>
    </row>
    <row r="878" spans="2:2" ht="18.75" customHeight="1">
      <c r="B878" s="58"/>
    </row>
    <row r="879" spans="2:2" ht="18.75" customHeight="1">
      <c r="B879" s="58"/>
    </row>
    <row r="880" spans="2:2" ht="18.75" customHeight="1">
      <c r="B880" s="58"/>
    </row>
    <row r="881" spans="2:2" ht="18.75" customHeight="1">
      <c r="B881" s="58"/>
    </row>
    <row r="882" spans="2:2" ht="18.75" customHeight="1">
      <c r="B882" s="58"/>
    </row>
    <row r="883" spans="2:2" ht="18.75" customHeight="1">
      <c r="B883" s="58"/>
    </row>
    <row r="884" spans="2:2" ht="18.75" customHeight="1">
      <c r="B884" s="58"/>
    </row>
    <row r="885" spans="2:2" ht="18.75" customHeight="1">
      <c r="B885" s="58"/>
    </row>
    <row r="886" spans="2:2" ht="18.75" customHeight="1">
      <c r="B886" s="58"/>
    </row>
    <row r="887" spans="2:2" ht="18.75" customHeight="1">
      <c r="B887" s="58"/>
    </row>
    <row r="888" spans="2:2" ht="18.75" customHeight="1">
      <c r="B888" s="58"/>
    </row>
    <row r="889" spans="2:2" ht="18.75" customHeight="1">
      <c r="B889" s="58"/>
    </row>
    <row r="890" spans="2:2" ht="18.75" customHeight="1">
      <c r="B890" s="58"/>
    </row>
    <row r="891" spans="2:2" ht="18.75" customHeight="1">
      <c r="B891" s="58"/>
    </row>
    <row r="892" spans="2:2" ht="18.75" customHeight="1">
      <c r="B892" s="58"/>
    </row>
    <row r="893" spans="2:2" ht="18.75" customHeight="1">
      <c r="B893" s="58"/>
    </row>
    <row r="894" spans="2:2" ht="18.75" customHeight="1">
      <c r="B894" s="58"/>
    </row>
    <row r="895" spans="2:2" ht="18.75" customHeight="1">
      <c r="B895" s="58"/>
    </row>
    <row r="896" spans="2:2" ht="18.75" customHeight="1">
      <c r="B896" s="58"/>
    </row>
    <row r="897" spans="2:2" ht="18.75" customHeight="1">
      <c r="B897" s="58"/>
    </row>
    <row r="898" spans="2:2" ht="18.75" customHeight="1">
      <c r="B898" s="58"/>
    </row>
    <row r="899" spans="2:2" ht="18.75" customHeight="1">
      <c r="B899" s="58"/>
    </row>
    <row r="900" spans="2:2" ht="18.75" customHeight="1">
      <c r="B900" s="58"/>
    </row>
    <row r="901" spans="2:2" ht="18.75" customHeight="1">
      <c r="B901" s="58"/>
    </row>
    <row r="902" spans="2:2" ht="18.75" customHeight="1">
      <c r="B902" s="58"/>
    </row>
    <row r="903" spans="2:2" ht="18.75" customHeight="1">
      <c r="B903" s="58"/>
    </row>
    <row r="904" spans="2:2" ht="18.75" customHeight="1">
      <c r="B904" s="58"/>
    </row>
    <row r="905" spans="2:2" ht="18.75" customHeight="1">
      <c r="B905" s="58"/>
    </row>
    <row r="906" spans="2:2" ht="18.75" customHeight="1">
      <c r="B906" s="58"/>
    </row>
    <row r="907" spans="2:2" ht="18.75" customHeight="1">
      <c r="B907" s="58"/>
    </row>
    <row r="908" spans="2:2" ht="18.75" customHeight="1">
      <c r="B908" s="58"/>
    </row>
    <row r="909" spans="2:2" ht="18.75" customHeight="1">
      <c r="B909" s="58"/>
    </row>
    <row r="910" spans="2:2" ht="18.75" customHeight="1">
      <c r="B910" s="58"/>
    </row>
    <row r="911" spans="2:2" ht="18.75" customHeight="1">
      <c r="B911" s="58"/>
    </row>
    <row r="912" spans="2:2" ht="18.75" customHeight="1">
      <c r="B912" s="58"/>
    </row>
    <row r="913" spans="2:2" ht="18.75" customHeight="1">
      <c r="B913" s="58"/>
    </row>
    <row r="914" spans="2:2" ht="18.75" customHeight="1">
      <c r="B914" s="58"/>
    </row>
    <row r="915" spans="2:2" ht="18.75" customHeight="1">
      <c r="B915" s="58"/>
    </row>
    <row r="916" spans="2:2" ht="18.75" customHeight="1">
      <c r="B916" s="58"/>
    </row>
    <row r="917" spans="2:2" ht="18.75" customHeight="1">
      <c r="B917" s="58"/>
    </row>
    <row r="918" spans="2:2" ht="18.75" customHeight="1">
      <c r="B918" s="58"/>
    </row>
    <row r="919" spans="2:2" ht="18.75" customHeight="1">
      <c r="B919" s="58"/>
    </row>
    <row r="920" spans="2:2" ht="18.75" customHeight="1">
      <c r="B920" s="58"/>
    </row>
    <row r="921" spans="2:2" ht="18.75" customHeight="1">
      <c r="B921" s="58"/>
    </row>
    <row r="922" spans="2:2" ht="18.75" customHeight="1">
      <c r="B922" s="58"/>
    </row>
    <row r="923" spans="2:2" ht="18.75" customHeight="1">
      <c r="B923" s="58"/>
    </row>
    <row r="924" spans="2:2" ht="18.75" customHeight="1">
      <c r="B924" s="58"/>
    </row>
    <row r="925" spans="2:2" ht="18.75" customHeight="1">
      <c r="B925" s="58"/>
    </row>
    <row r="926" spans="2:2" ht="18.75" customHeight="1">
      <c r="B926" s="58"/>
    </row>
    <row r="927" spans="2:2" ht="18.75" customHeight="1">
      <c r="B927" s="58"/>
    </row>
    <row r="928" spans="2:2" ht="18.75" customHeight="1">
      <c r="B928" s="58"/>
    </row>
    <row r="929" spans="2:2" ht="18.75" customHeight="1">
      <c r="B929" s="58"/>
    </row>
    <row r="930" spans="2:2" ht="18.75" customHeight="1">
      <c r="B930" s="58"/>
    </row>
    <row r="931" spans="2:2" ht="18.75" customHeight="1">
      <c r="B931" s="58"/>
    </row>
    <row r="932" spans="2:2" ht="18.75" customHeight="1">
      <c r="B932" s="58"/>
    </row>
    <row r="933" spans="2:2" ht="18.75" customHeight="1">
      <c r="B933" s="58"/>
    </row>
    <row r="934" spans="2:2" ht="18.75" customHeight="1">
      <c r="B934" s="58"/>
    </row>
    <row r="935" spans="2:2" ht="18.75" customHeight="1">
      <c r="B935" s="58"/>
    </row>
    <row r="936" spans="2:2" ht="18.75" customHeight="1">
      <c r="B936" s="58"/>
    </row>
    <row r="937" spans="2:2" ht="18.75" customHeight="1">
      <c r="B937" s="58"/>
    </row>
    <row r="938" spans="2:2" ht="18.75" customHeight="1">
      <c r="B938" s="58"/>
    </row>
    <row r="939" spans="2:2" ht="18.75" customHeight="1">
      <c r="B939" s="58"/>
    </row>
    <row r="940" spans="2:2" ht="18.75" customHeight="1">
      <c r="B940" s="58"/>
    </row>
    <row r="941" spans="2:2" ht="18.75" customHeight="1">
      <c r="B941" s="58"/>
    </row>
    <row r="942" spans="2:2" ht="18.75" customHeight="1">
      <c r="B942" s="58"/>
    </row>
    <row r="943" spans="2:2" ht="18.75" customHeight="1">
      <c r="B943" s="58"/>
    </row>
    <row r="944" spans="2:2" ht="18.75" customHeight="1">
      <c r="B944" s="58"/>
    </row>
    <row r="945" spans="2:2" ht="18.75" customHeight="1">
      <c r="B945" s="58"/>
    </row>
    <row r="946" spans="2:2" ht="18.75" customHeight="1">
      <c r="B946" s="58"/>
    </row>
    <row r="947" spans="2:2" ht="18.75" customHeight="1">
      <c r="B947" s="58"/>
    </row>
    <row r="948" spans="2:2" ht="18.75" customHeight="1">
      <c r="B948" s="58"/>
    </row>
    <row r="949" spans="2:2" ht="18.75" customHeight="1">
      <c r="B949" s="58"/>
    </row>
    <row r="950" spans="2:2" ht="18.75" customHeight="1">
      <c r="B950" s="58"/>
    </row>
    <row r="951" spans="2:2" ht="18.75" customHeight="1">
      <c r="B951" s="58"/>
    </row>
    <row r="952" spans="2:2" ht="18.75" customHeight="1">
      <c r="B952" s="58"/>
    </row>
    <row r="953" spans="2:2" ht="18.75" customHeight="1">
      <c r="B953" s="58"/>
    </row>
    <row r="954" spans="2:2" ht="18.75" customHeight="1">
      <c r="B954" s="58"/>
    </row>
    <row r="955" spans="2:2" ht="18.75" customHeight="1">
      <c r="B955" s="58"/>
    </row>
    <row r="956" spans="2:2" ht="18.75" customHeight="1">
      <c r="B956" s="58"/>
    </row>
    <row r="957" spans="2:2" ht="18.75" customHeight="1">
      <c r="B957" s="58"/>
    </row>
    <row r="958" spans="2:2" ht="18.75" customHeight="1">
      <c r="B958" s="58"/>
    </row>
    <row r="959" spans="2:2" ht="18.75" customHeight="1">
      <c r="B959" s="58"/>
    </row>
    <row r="960" spans="2:2" ht="18.75" customHeight="1">
      <c r="B960" s="58"/>
    </row>
    <row r="961" spans="2:2" ht="18.75" customHeight="1">
      <c r="B961" s="58"/>
    </row>
    <row r="962" spans="2:2" ht="18.75" customHeight="1">
      <c r="B962" s="58"/>
    </row>
    <row r="963" spans="2:2" ht="18.75" customHeight="1">
      <c r="B963" s="58"/>
    </row>
    <row r="964" spans="2:2" ht="18.75" customHeight="1">
      <c r="B964" s="58"/>
    </row>
    <row r="965" spans="2:2" ht="18.75" customHeight="1">
      <c r="B965" s="58"/>
    </row>
    <row r="966" spans="2:2" ht="18.75" customHeight="1">
      <c r="B966" s="58"/>
    </row>
    <row r="967" spans="2:2" ht="18.75" customHeight="1">
      <c r="B967" s="58"/>
    </row>
    <row r="968" spans="2:2" ht="18.75" customHeight="1">
      <c r="B968" s="58"/>
    </row>
    <row r="969" spans="2:2" ht="18.75" customHeight="1">
      <c r="B969" s="58"/>
    </row>
    <row r="970" spans="2:2" ht="18.75" customHeight="1">
      <c r="B970" s="58"/>
    </row>
    <row r="971" spans="2:2" ht="18.75" customHeight="1">
      <c r="B971" s="58"/>
    </row>
    <row r="972" spans="2:2" ht="18.75" customHeight="1">
      <c r="B972" s="58"/>
    </row>
    <row r="973" spans="2:2" ht="18.75" customHeight="1">
      <c r="B973" s="58"/>
    </row>
    <row r="974" spans="2:2" ht="18.75" customHeight="1">
      <c r="B974" s="58"/>
    </row>
    <row r="975" spans="2:2" ht="18.75" customHeight="1">
      <c r="B975" s="58"/>
    </row>
    <row r="976" spans="2:2" ht="18.75" customHeight="1">
      <c r="B976" s="58"/>
    </row>
    <row r="977" spans="2:2" ht="18.75" customHeight="1">
      <c r="B977" s="58"/>
    </row>
    <row r="978" spans="2:2" ht="18.75" customHeight="1">
      <c r="B978" s="58"/>
    </row>
    <row r="979" spans="2:2" ht="18.75" customHeight="1">
      <c r="B979" s="58"/>
    </row>
    <row r="980" spans="2:2" ht="18.75" customHeight="1">
      <c r="B980" s="58"/>
    </row>
    <row r="981" spans="2:2" ht="18.75" customHeight="1">
      <c r="B981" s="58"/>
    </row>
    <row r="982" spans="2:2" ht="18.75" customHeight="1">
      <c r="B982" s="58"/>
    </row>
    <row r="983" spans="2:2" ht="18.75" customHeight="1">
      <c r="B983" s="58"/>
    </row>
    <row r="984" spans="2:2" ht="18.75" customHeight="1">
      <c r="B984" s="58"/>
    </row>
    <row r="985" spans="2:2" ht="18.75" customHeight="1">
      <c r="B985" s="58"/>
    </row>
    <row r="986" spans="2:2" ht="18.75" customHeight="1">
      <c r="B986" s="58"/>
    </row>
    <row r="987" spans="2:2" ht="18.75" customHeight="1">
      <c r="B987" s="58"/>
    </row>
    <row r="988" spans="2:2" ht="18.75" customHeight="1">
      <c r="B988" s="58"/>
    </row>
    <row r="989" spans="2:2" ht="18.75" customHeight="1">
      <c r="B989" s="58"/>
    </row>
    <row r="990" spans="2:2" ht="18.75" customHeight="1">
      <c r="B990" s="58"/>
    </row>
    <row r="991" spans="2:2" ht="18.75" customHeight="1">
      <c r="B991" s="58"/>
    </row>
    <row r="992" spans="2:2" ht="18.75" customHeight="1">
      <c r="B992" s="58"/>
    </row>
    <row r="993" spans="2:2" ht="18.75" customHeight="1">
      <c r="B993" s="58"/>
    </row>
    <row r="994" spans="2:2" ht="18.75" customHeight="1">
      <c r="B994" s="58"/>
    </row>
    <row r="995" spans="2:2" ht="18.75" customHeight="1">
      <c r="B995" s="58"/>
    </row>
    <row r="996" spans="2:2" ht="18.75" customHeight="1">
      <c r="B996" s="58"/>
    </row>
    <row r="997" spans="2:2" ht="18.75" customHeight="1">
      <c r="B997" s="58"/>
    </row>
    <row r="998" spans="2:2" ht="18.75" customHeight="1">
      <c r="B998" s="58"/>
    </row>
    <row r="999" spans="2:2" ht="18.75" customHeight="1">
      <c r="B999" s="58"/>
    </row>
    <row r="1000" spans="2:2" ht="18.75" customHeight="1">
      <c r="B1000" s="58"/>
    </row>
  </sheetData>
  <mergeCells count="6">
    <mergeCell ref="E18:E19"/>
    <mergeCell ref="A7:A8"/>
    <mergeCell ref="C7:C8"/>
    <mergeCell ref="D7:D8"/>
    <mergeCell ref="A18:A19"/>
    <mergeCell ref="D18:D19"/>
  </mergeCell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1" topLeftCell="A5" activePane="bottomLeft" state="frozen"/>
      <selection pane="bottomLeft" activeCell="C3" sqref="C3"/>
    </sheetView>
  </sheetViews>
  <sheetFormatPr defaultColWidth="14.44140625" defaultRowHeight="15" customHeight="1"/>
  <cols>
    <col min="1" max="1" width="67.33203125" customWidth="1"/>
    <col min="2" max="2" width="14.33203125" customWidth="1"/>
    <col min="3" max="3" width="20.6640625" customWidth="1"/>
    <col min="4" max="4" width="22.44140625" customWidth="1"/>
    <col min="5" max="5" width="14.33203125" customWidth="1"/>
    <col min="6" max="6" width="26.6640625" customWidth="1"/>
    <col min="7" max="7" width="28.33203125" customWidth="1"/>
    <col min="8" max="8" width="23.33203125" customWidth="1"/>
    <col min="9" max="9" width="17.44140625" customWidth="1"/>
    <col min="10" max="10" width="43" customWidth="1"/>
    <col min="11" max="11" width="22.5546875" customWidth="1"/>
    <col min="12" max="26" width="8.6640625" customWidth="1"/>
  </cols>
  <sheetData>
    <row r="1" spans="1:26" ht="18">
      <c r="A1" s="138" t="s">
        <v>282</v>
      </c>
      <c r="B1" s="139" t="s">
        <v>3</v>
      </c>
      <c r="C1" s="139" t="s">
        <v>154</v>
      </c>
      <c r="D1" s="139" t="s">
        <v>283</v>
      </c>
      <c r="E1" s="139" t="s">
        <v>8</v>
      </c>
      <c r="F1" s="139" t="s">
        <v>284</v>
      </c>
      <c r="G1" s="139" t="s">
        <v>285</v>
      </c>
      <c r="H1" s="139" t="s">
        <v>210</v>
      </c>
      <c r="I1" s="140" t="s">
        <v>5</v>
      </c>
      <c r="J1" s="140" t="s">
        <v>286</v>
      </c>
      <c r="K1" s="141" t="s">
        <v>287</v>
      </c>
      <c r="L1" s="142"/>
      <c r="M1" s="142"/>
      <c r="N1" s="142"/>
      <c r="O1" s="142"/>
      <c r="P1" s="142"/>
      <c r="Q1" s="142"/>
      <c r="R1" s="142"/>
      <c r="S1" s="142"/>
      <c r="T1" s="142"/>
      <c r="U1" s="142"/>
      <c r="V1" s="142"/>
      <c r="W1" s="142"/>
      <c r="X1" s="142"/>
      <c r="Y1" s="142"/>
      <c r="Z1" s="142"/>
    </row>
    <row r="2" spans="1:26" ht="21">
      <c r="A2" s="143" t="s">
        <v>288</v>
      </c>
      <c r="B2" s="144" t="s">
        <v>289</v>
      </c>
      <c r="C2" s="144">
        <v>12000</v>
      </c>
      <c r="D2" s="145">
        <v>45565</v>
      </c>
      <c r="E2" s="146" t="s">
        <v>290</v>
      </c>
      <c r="F2" s="144">
        <v>6000</v>
      </c>
      <c r="G2" s="144"/>
      <c r="H2" s="144">
        <v>2000</v>
      </c>
      <c r="J2" s="147">
        <v>8000</v>
      </c>
      <c r="K2" s="148"/>
      <c r="L2" s="124"/>
      <c r="M2" s="124"/>
      <c r="N2" s="124"/>
    </row>
    <row r="3" spans="1:26" ht="21">
      <c r="A3" s="149" t="s">
        <v>291</v>
      </c>
      <c r="B3" s="150" t="s">
        <v>292</v>
      </c>
      <c r="C3" s="150">
        <f t="shared" ref="C3:C4" si="0">F3+G3+H3</f>
        <v>2500</v>
      </c>
      <c r="D3" s="150" t="s">
        <v>25</v>
      </c>
      <c r="E3" s="150"/>
      <c r="F3" s="150">
        <v>2000</v>
      </c>
      <c r="G3" s="150"/>
      <c r="H3" s="150">
        <v>500</v>
      </c>
      <c r="J3" s="151">
        <v>2000</v>
      </c>
      <c r="K3" s="152">
        <v>40000</v>
      </c>
      <c r="L3" s="126"/>
      <c r="M3" s="126" t="s">
        <v>143</v>
      </c>
      <c r="N3" s="126" t="s">
        <v>293</v>
      </c>
    </row>
    <row r="4" spans="1:26" ht="21">
      <c r="A4" s="149" t="s">
        <v>294</v>
      </c>
      <c r="B4" s="144" t="s">
        <v>292</v>
      </c>
      <c r="C4" s="144">
        <f t="shared" si="0"/>
        <v>45000</v>
      </c>
      <c r="D4" s="144" t="s">
        <v>25</v>
      </c>
      <c r="E4" s="144"/>
      <c r="F4" s="144">
        <v>40000</v>
      </c>
      <c r="G4" s="144"/>
      <c r="H4" s="144">
        <v>5000</v>
      </c>
      <c r="I4" s="153" t="s">
        <v>295</v>
      </c>
      <c r="J4" s="151"/>
      <c r="K4" s="152"/>
      <c r="L4" s="126"/>
      <c r="M4" s="126"/>
      <c r="N4" s="126"/>
    </row>
    <row r="5" spans="1:26" ht="21">
      <c r="A5" s="143" t="s">
        <v>296</v>
      </c>
      <c r="B5" s="150" t="s">
        <v>292</v>
      </c>
      <c r="C5" s="154"/>
      <c r="D5" s="150" t="s">
        <v>25</v>
      </c>
      <c r="E5" s="150"/>
      <c r="F5" s="150">
        <v>2000</v>
      </c>
      <c r="G5" s="150" t="s">
        <v>297</v>
      </c>
      <c r="H5" s="150">
        <v>2500</v>
      </c>
      <c r="I5" s="155" t="s">
        <v>298</v>
      </c>
      <c r="J5" s="147" t="s">
        <v>299</v>
      </c>
      <c r="K5" s="148"/>
      <c r="L5" s="124"/>
      <c r="M5" s="124"/>
      <c r="N5" s="124"/>
    </row>
    <row r="6" spans="1:26" ht="21">
      <c r="A6" s="149" t="s">
        <v>300</v>
      </c>
      <c r="B6" s="144" t="s">
        <v>292</v>
      </c>
      <c r="C6" s="144">
        <f t="shared" ref="C6:C7" si="1">F6+G6+H6</f>
        <v>16000</v>
      </c>
      <c r="D6" s="144" t="s">
        <v>25</v>
      </c>
      <c r="E6" s="144"/>
      <c r="F6" s="144">
        <v>5000</v>
      </c>
      <c r="G6" s="144">
        <v>10000</v>
      </c>
      <c r="H6" s="144">
        <v>1000</v>
      </c>
      <c r="I6" s="153" t="s">
        <v>298</v>
      </c>
      <c r="J6" s="151" t="s">
        <v>301</v>
      </c>
      <c r="K6" s="152"/>
      <c r="L6" s="126"/>
      <c r="M6" s="126"/>
      <c r="N6" s="126"/>
    </row>
    <row r="7" spans="1:26" ht="21">
      <c r="A7" s="143" t="s">
        <v>302</v>
      </c>
      <c r="B7" s="150" t="s">
        <v>292</v>
      </c>
      <c r="C7" s="150" t="e">
        <f t="shared" si="1"/>
        <v>#VALUE!</v>
      </c>
      <c r="D7" s="150" t="s">
        <v>25</v>
      </c>
      <c r="E7" s="150"/>
      <c r="F7" s="150"/>
      <c r="G7" s="150" t="s">
        <v>303</v>
      </c>
      <c r="H7" s="150"/>
      <c r="J7" s="147" t="s">
        <v>304</v>
      </c>
      <c r="K7" s="148"/>
      <c r="L7" s="124"/>
      <c r="M7" s="124"/>
      <c r="N7" s="124"/>
    </row>
    <row r="8" spans="1:26" ht="21">
      <c r="A8" s="149" t="s">
        <v>305</v>
      </c>
      <c r="B8" s="144" t="s">
        <v>292</v>
      </c>
      <c r="C8" s="146">
        <v>2500</v>
      </c>
      <c r="D8" s="144" t="s">
        <v>25</v>
      </c>
      <c r="E8" s="144"/>
      <c r="F8" s="156"/>
      <c r="G8" s="146">
        <v>900</v>
      </c>
      <c r="H8" s="146">
        <v>600</v>
      </c>
      <c r="J8" s="151" t="s">
        <v>306</v>
      </c>
      <c r="K8" s="152"/>
      <c r="L8" s="126" t="s">
        <v>307</v>
      </c>
      <c r="M8" s="126" t="s">
        <v>144</v>
      </c>
      <c r="N8" s="126" t="s">
        <v>308</v>
      </c>
    </row>
    <row r="9" spans="1:26" ht="21">
      <c r="A9" s="149" t="s">
        <v>309</v>
      </c>
      <c r="B9" s="150" t="s">
        <v>292</v>
      </c>
      <c r="C9" s="150">
        <f>H9+G9+F9</f>
        <v>1500</v>
      </c>
      <c r="D9" s="150" t="s">
        <v>25</v>
      </c>
      <c r="E9" s="150"/>
      <c r="F9" s="154"/>
      <c r="G9" s="157">
        <v>900</v>
      </c>
      <c r="H9" s="157">
        <v>600</v>
      </c>
      <c r="J9" s="151"/>
      <c r="K9" s="152"/>
      <c r="L9" s="126"/>
      <c r="M9" s="126"/>
      <c r="N9" s="126"/>
    </row>
    <row r="10" spans="1:26" ht="21">
      <c r="A10" s="143" t="s">
        <v>310</v>
      </c>
      <c r="B10" s="144" t="s">
        <v>289</v>
      </c>
      <c r="C10" s="144">
        <f t="shared" ref="C10:C14" si="2">F10+G10+H10</f>
        <v>1250</v>
      </c>
      <c r="D10" s="158">
        <v>11202</v>
      </c>
      <c r="E10" s="144">
        <v>5000</v>
      </c>
      <c r="F10" s="144">
        <v>500</v>
      </c>
      <c r="G10" s="144"/>
      <c r="H10" s="144">
        <v>750</v>
      </c>
      <c r="J10" s="147">
        <v>300</v>
      </c>
      <c r="K10" s="148"/>
      <c r="L10" s="124"/>
      <c r="M10" s="124"/>
      <c r="N10" s="124"/>
    </row>
    <row r="11" spans="1:26" ht="21">
      <c r="A11" s="149" t="s">
        <v>311</v>
      </c>
      <c r="B11" s="150" t="s">
        <v>292</v>
      </c>
      <c r="C11" s="150">
        <f t="shared" si="2"/>
        <v>6000</v>
      </c>
      <c r="D11" s="150" t="s">
        <v>25</v>
      </c>
      <c r="E11" s="150"/>
      <c r="F11" s="150">
        <v>6000</v>
      </c>
      <c r="G11" s="150"/>
      <c r="H11" s="150"/>
      <c r="J11" s="151" t="s">
        <v>312</v>
      </c>
      <c r="K11" s="152"/>
      <c r="L11" s="126">
        <v>6000</v>
      </c>
      <c r="M11" s="126"/>
      <c r="N11" s="126"/>
    </row>
    <row r="12" spans="1:26" ht="21">
      <c r="A12" s="143" t="s">
        <v>313</v>
      </c>
      <c r="B12" s="144" t="s">
        <v>292</v>
      </c>
      <c r="C12" s="144">
        <f t="shared" si="2"/>
        <v>1200</v>
      </c>
      <c r="D12" s="144" t="s">
        <v>25</v>
      </c>
      <c r="E12" s="144"/>
      <c r="F12" s="144">
        <v>1000</v>
      </c>
      <c r="G12" s="144"/>
      <c r="H12" s="144">
        <v>200</v>
      </c>
      <c r="J12" s="147" t="s">
        <v>314</v>
      </c>
      <c r="K12" s="148"/>
      <c r="L12" s="124"/>
      <c r="M12" s="124"/>
      <c r="N12" s="124"/>
    </row>
    <row r="13" spans="1:26" ht="21">
      <c r="A13" s="143" t="s">
        <v>315</v>
      </c>
      <c r="B13" s="150" t="s">
        <v>292</v>
      </c>
      <c r="C13" s="150">
        <f t="shared" si="2"/>
        <v>1200</v>
      </c>
      <c r="D13" s="150" t="s">
        <v>25</v>
      </c>
      <c r="E13" s="150"/>
      <c r="F13" s="150">
        <v>1000</v>
      </c>
      <c r="G13" s="150"/>
      <c r="H13" s="150">
        <v>200</v>
      </c>
      <c r="J13" s="147"/>
      <c r="K13" s="148"/>
      <c r="L13" s="124"/>
      <c r="M13" s="124"/>
      <c r="N13" s="124"/>
    </row>
    <row r="14" spans="1:26" ht="21">
      <c r="A14" s="149" t="s">
        <v>316</v>
      </c>
      <c r="B14" s="144" t="s">
        <v>292</v>
      </c>
      <c r="C14" s="144">
        <f t="shared" si="2"/>
        <v>1200</v>
      </c>
      <c r="D14" s="144" t="s">
        <v>25</v>
      </c>
      <c r="E14" s="144"/>
      <c r="F14" s="144">
        <v>1000</v>
      </c>
      <c r="G14" s="144"/>
      <c r="H14" s="144">
        <v>200</v>
      </c>
      <c r="J14" s="151">
        <v>1000</v>
      </c>
      <c r="K14" s="152"/>
      <c r="L14" s="126"/>
      <c r="M14" s="126"/>
      <c r="N14" s="126"/>
    </row>
    <row r="15" spans="1:26" ht="18">
      <c r="A15" s="159" t="s">
        <v>317</v>
      </c>
      <c r="B15" s="150" t="s">
        <v>289</v>
      </c>
      <c r="C15" s="157">
        <v>5500</v>
      </c>
      <c r="D15" s="150"/>
      <c r="E15" s="150">
        <v>5000</v>
      </c>
      <c r="F15" s="150">
        <v>500</v>
      </c>
      <c r="G15" s="150"/>
      <c r="H15" s="150">
        <v>200</v>
      </c>
      <c r="J15" s="147">
        <v>500</v>
      </c>
      <c r="K15" s="148">
        <v>5000</v>
      </c>
      <c r="L15" s="124" t="s">
        <v>8</v>
      </c>
      <c r="M15" s="124"/>
      <c r="N15" s="124"/>
    </row>
    <row r="16" spans="1:26" ht="18">
      <c r="A16" s="160" t="s">
        <v>318</v>
      </c>
      <c r="B16" s="144" t="s">
        <v>21</v>
      </c>
      <c r="C16" s="146">
        <v>400</v>
      </c>
      <c r="D16" s="144" t="s">
        <v>319</v>
      </c>
      <c r="E16" s="144"/>
      <c r="F16" s="144">
        <v>300</v>
      </c>
      <c r="G16" s="146">
        <v>100</v>
      </c>
      <c r="H16" s="144"/>
      <c r="J16" s="151"/>
      <c r="K16" s="152"/>
      <c r="L16" s="126"/>
      <c r="M16" s="126"/>
      <c r="N16" s="126"/>
    </row>
    <row r="17" spans="1:8" ht="14.4">
      <c r="A17" s="161" t="s">
        <v>320</v>
      </c>
      <c r="C17" s="162">
        <v>2500</v>
      </c>
      <c r="F17" s="163"/>
      <c r="H17" s="163"/>
    </row>
    <row r="20" spans="1:8" ht="14.4">
      <c r="A20" s="164" t="s">
        <v>321</v>
      </c>
      <c r="B20" s="23">
        <v>10000</v>
      </c>
    </row>
    <row r="21" spans="1:8" ht="15.75" customHeight="1">
      <c r="A21" s="23" t="s">
        <v>322</v>
      </c>
    </row>
    <row r="22" spans="1:8" ht="15.75" customHeight="1"/>
    <row r="23" spans="1:8" ht="15.75" customHeight="1">
      <c r="A23" s="23" t="s">
        <v>323</v>
      </c>
    </row>
    <row r="24" spans="1:8" ht="15.75" customHeight="1">
      <c r="A24" s="23" t="s">
        <v>324</v>
      </c>
    </row>
    <row r="25" spans="1:8" ht="15.75" customHeight="1">
      <c r="A25" s="23" t="s">
        <v>325</v>
      </c>
    </row>
    <row r="26" spans="1:8" ht="15.75" customHeight="1">
      <c r="A26" s="23" t="s">
        <v>326</v>
      </c>
    </row>
    <row r="27" spans="1:8" ht="15.75" customHeight="1">
      <c r="A27" s="23" t="s">
        <v>327</v>
      </c>
    </row>
    <row r="28" spans="1:8" ht="15.75" customHeight="1">
      <c r="A28" s="23" t="s">
        <v>328</v>
      </c>
    </row>
    <row r="29" spans="1:8" ht="15.75" customHeight="1">
      <c r="A29" s="23" t="s">
        <v>329</v>
      </c>
    </row>
    <row r="30" spans="1:8" ht="15.75" customHeight="1">
      <c r="A30" s="23" t="s">
        <v>330</v>
      </c>
    </row>
    <row r="31" spans="1:8" ht="15.75" customHeight="1">
      <c r="A31" s="23" t="s">
        <v>331</v>
      </c>
    </row>
    <row r="32" spans="1:8" ht="15.75" customHeight="1">
      <c r="A32" s="23" t="s">
        <v>332</v>
      </c>
    </row>
    <row r="33" spans="1:1" ht="15.75" customHeight="1"/>
    <row r="34" spans="1:1" ht="15.75" customHeight="1"/>
    <row r="35" spans="1:1" ht="15.75" customHeight="1">
      <c r="A35" s="23" t="s">
        <v>333</v>
      </c>
    </row>
    <row r="36" spans="1:1" ht="15.75" customHeight="1">
      <c r="A36" s="23" t="s">
        <v>334</v>
      </c>
    </row>
    <row r="37" spans="1:1" ht="15.75" customHeight="1"/>
    <row r="38" spans="1:1" ht="15.75" customHeight="1"/>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row r="47" spans="1:1" ht="15.75" customHeight="1"/>
    <row r="48" spans="1:1"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custom" allowBlank="1" showDropDown="1" sqref="C2:C17 F2:F17 H2:H17">
      <formula1>AND(ISNUMBER(C2),(NOT(OR(NOT(ISERROR(DATEVALUE(C2))), AND(ISNUMBER(C2), LEFT(CELL("format", C2))="D")))))</formula1>
    </dataValidation>
  </dataValidations>
  <pageMargins left="0.7" right="0.7" top="0.75" bottom="0.75" header="0" footer="0"/>
  <pageSetup paperSize="9"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39"/>
  <sheetViews>
    <sheetView workbookViewId="0"/>
  </sheetViews>
  <sheetFormatPr defaultColWidth="14.44140625" defaultRowHeight="15" customHeight="1"/>
  <cols>
    <col min="1" max="1" width="21.33203125" customWidth="1"/>
  </cols>
  <sheetData>
    <row r="1" spans="1:1">
      <c r="A1" s="23" t="s">
        <v>335</v>
      </c>
    </row>
    <row r="2" spans="1:1">
      <c r="A2" s="23" t="s">
        <v>336</v>
      </c>
    </row>
    <row r="3" spans="1:1">
      <c r="A3" s="23" t="s">
        <v>337</v>
      </c>
    </row>
    <row r="7" spans="1:1">
      <c r="A7" s="23" t="s">
        <v>338</v>
      </c>
    </row>
    <row r="39" spans="1:1">
      <c r="A39" s="23" t="s">
        <v>339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4.44140625" defaultRowHeight="15" customHeight="1"/>
  <cols>
    <col min="1" max="1" width="14.44140625" customWidth="1"/>
    <col min="2" max="2" width="85.5546875" customWidth="1"/>
    <col min="3" max="4" width="14.44140625" customWidth="1"/>
    <col min="5" max="6" width="17.33203125" customWidth="1"/>
    <col min="8" max="8" width="18.44140625" customWidth="1"/>
    <col min="11" max="11" width="41.44140625" customWidth="1"/>
  </cols>
  <sheetData>
    <row r="1" spans="1:26" ht="15" customHeight="1">
      <c r="A1" s="165"/>
      <c r="B1" s="166" t="s">
        <v>340</v>
      </c>
      <c r="C1" s="2" t="s">
        <v>3</v>
      </c>
      <c r="D1" s="3" t="s">
        <v>4</v>
      </c>
      <c r="E1" s="167" t="s">
        <v>210</v>
      </c>
      <c r="F1" s="3" t="s">
        <v>211</v>
      </c>
      <c r="G1" s="2" t="s">
        <v>212</v>
      </c>
      <c r="H1" s="2" t="s">
        <v>5</v>
      </c>
      <c r="I1" s="168"/>
      <c r="J1" s="168"/>
      <c r="K1" s="168"/>
      <c r="L1" s="169"/>
      <c r="M1" s="169"/>
      <c r="N1" s="169"/>
      <c r="O1" s="169"/>
      <c r="P1" s="169"/>
      <c r="Q1" s="169"/>
      <c r="R1" s="169"/>
      <c r="S1" s="169"/>
      <c r="T1" s="169"/>
      <c r="U1" s="169"/>
      <c r="V1" s="169"/>
      <c r="W1" s="169"/>
      <c r="X1" s="169"/>
      <c r="Y1" s="169"/>
      <c r="Z1" s="169"/>
    </row>
    <row r="2" spans="1:26" ht="15.6">
      <c r="A2" s="170">
        <v>1</v>
      </c>
      <c r="B2" s="171" t="s">
        <v>341</v>
      </c>
      <c r="C2" s="172" t="s">
        <v>342</v>
      </c>
      <c r="D2" s="170">
        <v>1000</v>
      </c>
      <c r="E2" s="170">
        <v>1000</v>
      </c>
      <c r="F2" s="170">
        <f t="shared" ref="F2:F65" si="0">SUM(D2:E2)</f>
        <v>2000</v>
      </c>
      <c r="G2" s="173">
        <f t="shared" ref="G2:G65" si="1">(18/100)*E2+(D2+E2)</f>
        <v>2180</v>
      </c>
      <c r="H2" s="172" t="s">
        <v>343</v>
      </c>
      <c r="I2" s="174" t="s">
        <v>344</v>
      </c>
      <c r="J2" s="174"/>
      <c r="K2" s="174"/>
      <c r="L2" s="169"/>
      <c r="M2" s="169"/>
      <c r="N2" s="169"/>
      <c r="O2" s="169"/>
      <c r="P2" s="169"/>
      <c r="Q2" s="169"/>
      <c r="R2" s="169"/>
      <c r="S2" s="169"/>
      <c r="T2" s="169"/>
      <c r="U2" s="169"/>
      <c r="V2" s="169"/>
      <c r="W2" s="169"/>
      <c r="X2" s="169"/>
      <c r="Y2" s="169"/>
      <c r="Z2" s="169"/>
    </row>
    <row r="3" spans="1:26" ht="15.6">
      <c r="A3" s="170">
        <v>2</v>
      </c>
      <c r="B3" s="171" t="s">
        <v>345</v>
      </c>
      <c r="C3" s="172" t="s">
        <v>342</v>
      </c>
      <c r="D3" s="170">
        <v>1000</v>
      </c>
      <c r="E3" s="170">
        <v>1000</v>
      </c>
      <c r="F3" s="170">
        <f t="shared" si="0"/>
        <v>2000</v>
      </c>
      <c r="G3" s="173">
        <f t="shared" si="1"/>
        <v>2180</v>
      </c>
      <c r="H3" s="172" t="s">
        <v>343</v>
      </c>
      <c r="I3" s="174" t="s">
        <v>346</v>
      </c>
      <c r="J3" s="174"/>
      <c r="K3" s="174"/>
      <c r="L3" s="169"/>
      <c r="M3" s="169"/>
      <c r="N3" s="169"/>
      <c r="O3" s="169"/>
      <c r="P3" s="169"/>
      <c r="Q3" s="169"/>
      <c r="R3" s="169"/>
      <c r="S3" s="169"/>
      <c r="T3" s="169"/>
      <c r="U3" s="169"/>
      <c r="V3" s="169"/>
      <c r="W3" s="169"/>
      <c r="X3" s="169"/>
      <c r="Y3" s="169"/>
      <c r="Z3" s="169"/>
    </row>
    <row r="4" spans="1:26" ht="15.6">
      <c r="A4" s="170">
        <v>3</v>
      </c>
      <c r="B4" s="171" t="s">
        <v>347</v>
      </c>
      <c r="C4" s="172" t="s">
        <v>342</v>
      </c>
      <c r="D4" s="170">
        <v>1000</v>
      </c>
      <c r="E4" s="170">
        <v>1000</v>
      </c>
      <c r="F4" s="170">
        <f t="shared" si="0"/>
        <v>2000</v>
      </c>
      <c r="G4" s="173">
        <f t="shared" si="1"/>
        <v>2180</v>
      </c>
      <c r="H4" s="172" t="s">
        <v>343</v>
      </c>
      <c r="I4" s="35"/>
      <c r="J4" s="175"/>
      <c r="K4" s="175"/>
      <c r="L4" s="169"/>
      <c r="M4" s="169"/>
      <c r="N4" s="169"/>
      <c r="O4" s="169"/>
      <c r="P4" s="169"/>
      <c r="Q4" s="169"/>
      <c r="R4" s="169"/>
      <c r="S4" s="169"/>
      <c r="T4" s="169"/>
      <c r="U4" s="169"/>
      <c r="V4" s="169"/>
      <c r="W4" s="169"/>
      <c r="X4" s="169"/>
      <c r="Y4" s="169"/>
      <c r="Z4" s="169"/>
    </row>
    <row r="5" spans="1:26" ht="15.6">
      <c r="A5" s="170">
        <v>4</v>
      </c>
      <c r="B5" s="171" t="s">
        <v>348</v>
      </c>
      <c r="C5" s="172" t="s">
        <v>342</v>
      </c>
      <c r="D5" s="170">
        <v>1000</v>
      </c>
      <c r="E5" s="170">
        <v>1000</v>
      </c>
      <c r="F5" s="170">
        <f t="shared" si="0"/>
        <v>2000</v>
      </c>
      <c r="G5" s="173">
        <f t="shared" si="1"/>
        <v>2180</v>
      </c>
      <c r="H5" s="172" t="s">
        <v>343</v>
      </c>
      <c r="I5" s="176" t="s">
        <v>349</v>
      </c>
      <c r="J5" s="177"/>
      <c r="K5" s="177"/>
      <c r="L5" s="169"/>
      <c r="M5" s="169"/>
      <c r="N5" s="169"/>
      <c r="O5" s="169"/>
      <c r="P5" s="169"/>
      <c r="Q5" s="169"/>
      <c r="R5" s="169"/>
      <c r="S5" s="169"/>
      <c r="T5" s="169"/>
      <c r="U5" s="169"/>
      <c r="V5" s="169"/>
      <c r="W5" s="169"/>
      <c r="X5" s="169"/>
      <c r="Y5" s="169"/>
      <c r="Z5" s="169"/>
    </row>
    <row r="6" spans="1:26" ht="15.6">
      <c r="A6" s="170">
        <v>5</v>
      </c>
      <c r="B6" s="171" t="s">
        <v>350</v>
      </c>
      <c r="C6" s="172" t="s">
        <v>342</v>
      </c>
      <c r="D6" s="170">
        <v>1000</v>
      </c>
      <c r="E6" s="170">
        <v>1000</v>
      </c>
      <c r="F6" s="170">
        <f t="shared" si="0"/>
        <v>2000</v>
      </c>
      <c r="G6" s="173">
        <f t="shared" si="1"/>
        <v>2180</v>
      </c>
      <c r="H6" s="172" t="s">
        <v>343</v>
      </c>
      <c r="I6" s="177" t="s">
        <v>351</v>
      </c>
      <c r="J6" s="178" t="s">
        <v>352</v>
      </c>
      <c r="K6" s="177"/>
      <c r="L6" s="169"/>
      <c r="M6" s="169"/>
      <c r="N6" s="169"/>
      <c r="O6" s="169"/>
      <c r="P6" s="169"/>
      <c r="Q6" s="169"/>
      <c r="R6" s="169"/>
      <c r="S6" s="169"/>
      <c r="T6" s="169"/>
      <c r="U6" s="169"/>
      <c r="V6" s="169"/>
      <c r="W6" s="169"/>
      <c r="X6" s="169"/>
      <c r="Y6" s="169"/>
      <c r="Z6" s="169"/>
    </row>
    <row r="7" spans="1:26" ht="15.6">
      <c r="A7" s="170">
        <v>6</v>
      </c>
      <c r="B7" s="171" t="s">
        <v>353</v>
      </c>
      <c r="C7" s="172" t="s">
        <v>342</v>
      </c>
      <c r="D7" s="170">
        <v>1000</v>
      </c>
      <c r="E7" s="170">
        <v>1000</v>
      </c>
      <c r="F7" s="170">
        <f t="shared" si="0"/>
        <v>2000</v>
      </c>
      <c r="G7" s="173">
        <f t="shared" si="1"/>
        <v>2180</v>
      </c>
      <c r="H7" s="172" t="s">
        <v>343</v>
      </c>
      <c r="I7" s="177" t="s">
        <v>354</v>
      </c>
      <c r="J7" s="179" t="s">
        <v>355</v>
      </c>
      <c r="K7" s="175"/>
      <c r="L7" s="169"/>
      <c r="M7" s="169"/>
      <c r="N7" s="169"/>
      <c r="O7" s="169"/>
      <c r="P7" s="169"/>
      <c r="Q7" s="169"/>
      <c r="R7" s="169"/>
      <c r="S7" s="169"/>
      <c r="T7" s="169"/>
      <c r="U7" s="169"/>
      <c r="V7" s="169"/>
      <c r="W7" s="169"/>
      <c r="X7" s="169"/>
      <c r="Y7" s="169"/>
      <c r="Z7" s="169"/>
    </row>
    <row r="8" spans="1:26" ht="15.6">
      <c r="A8" s="170">
        <v>7</v>
      </c>
      <c r="B8" s="171" t="s">
        <v>356</v>
      </c>
      <c r="C8" s="172" t="s">
        <v>342</v>
      </c>
      <c r="D8" s="170">
        <v>2000</v>
      </c>
      <c r="E8" s="170">
        <v>1000</v>
      </c>
      <c r="F8" s="170">
        <f t="shared" si="0"/>
        <v>3000</v>
      </c>
      <c r="G8" s="173">
        <f t="shared" si="1"/>
        <v>3180</v>
      </c>
      <c r="H8" s="172" t="s">
        <v>343</v>
      </c>
      <c r="I8" s="177" t="s">
        <v>357</v>
      </c>
      <c r="J8" s="177" t="s">
        <v>358</v>
      </c>
      <c r="K8" s="177"/>
      <c r="L8" s="169"/>
      <c r="M8" s="169"/>
      <c r="N8" s="169"/>
      <c r="O8" s="169"/>
      <c r="P8" s="169"/>
      <c r="Q8" s="169"/>
      <c r="R8" s="169"/>
      <c r="S8" s="169"/>
      <c r="T8" s="169"/>
      <c r="U8" s="169"/>
      <c r="V8" s="169"/>
      <c r="W8" s="169"/>
      <c r="X8" s="169"/>
      <c r="Y8" s="169"/>
      <c r="Z8" s="169"/>
    </row>
    <row r="9" spans="1:26" ht="15.6">
      <c r="A9" s="170">
        <v>9</v>
      </c>
      <c r="B9" s="171" t="s">
        <v>359</v>
      </c>
      <c r="C9" s="172" t="s">
        <v>342</v>
      </c>
      <c r="D9" s="170">
        <v>2000</v>
      </c>
      <c r="E9" s="170">
        <v>1000</v>
      </c>
      <c r="F9" s="170">
        <f t="shared" si="0"/>
        <v>3000</v>
      </c>
      <c r="G9" s="173">
        <f t="shared" si="1"/>
        <v>3180</v>
      </c>
      <c r="H9" s="172" t="s">
        <v>343</v>
      </c>
      <c r="I9" s="177" t="s">
        <v>360</v>
      </c>
      <c r="J9" s="177" t="s">
        <v>358</v>
      </c>
      <c r="K9" s="177"/>
      <c r="L9" s="169"/>
      <c r="M9" s="169"/>
      <c r="N9" s="169"/>
      <c r="O9" s="169"/>
      <c r="P9" s="169"/>
      <c r="Q9" s="169"/>
      <c r="R9" s="169"/>
      <c r="S9" s="169"/>
      <c r="T9" s="169"/>
      <c r="U9" s="169"/>
      <c r="V9" s="169"/>
      <c r="W9" s="169"/>
      <c r="X9" s="169"/>
      <c r="Y9" s="169"/>
      <c r="Z9" s="169"/>
    </row>
    <row r="10" spans="1:26" ht="15.6">
      <c r="A10" s="170">
        <v>10</v>
      </c>
      <c r="B10" s="171" t="s">
        <v>361</v>
      </c>
      <c r="C10" s="172" t="s">
        <v>342</v>
      </c>
      <c r="D10" s="170">
        <v>2000</v>
      </c>
      <c r="E10" s="170">
        <v>1000</v>
      </c>
      <c r="F10" s="170">
        <f t="shared" si="0"/>
        <v>3000</v>
      </c>
      <c r="G10" s="173">
        <f t="shared" si="1"/>
        <v>3180</v>
      </c>
      <c r="H10" s="172" t="s">
        <v>343</v>
      </c>
      <c r="I10" s="177" t="s">
        <v>362</v>
      </c>
      <c r="J10" s="177" t="s">
        <v>358</v>
      </c>
      <c r="K10" s="177"/>
      <c r="L10" s="169"/>
      <c r="M10" s="169"/>
      <c r="N10" s="169"/>
      <c r="O10" s="169"/>
      <c r="P10" s="169"/>
      <c r="Q10" s="169"/>
      <c r="R10" s="169"/>
      <c r="S10" s="169"/>
      <c r="T10" s="169"/>
      <c r="U10" s="169"/>
      <c r="V10" s="169"/>
      <c r="W10" s="169"/>
      <c r="X10" s="169"/>
      <c r="Y10" s="169"/>
      <c r="Z10" s="169"/>
    </row>
    <row r="11" spans="1:26" ht="15.6">
      <c r="A11" s="170">
        <v>11</v>
      </c>
      <c r="B11" s="171" t="s">
        <v>363</v>
      </c>
      <c r="C11" s="172" t="s">
        <v>342</v>
      </c>
      <c r="D11" s="170">
        <v>2000</v>
      </c>
      <c r="E11" s="170">
        <v>1000</v>
      </c>
      <c r="F11" s="170">
        <f t="shared" si="0"/>
        <v>3000</v>
      </c>
      <c r="G11" s="173">
        <f t="shared" si="1"/>
        <v>3180</v>
      </c>
      <c r="H11" s="172" t="s">
        <v>343</v>
      </c>
      <c r="I11" s="177" t="s">
        <v>364</v>
      </c>
      <c r="J11" s="177" t="s">
        <v>358</v>
      </c>
      <c r="K11" s="177"/>
      <c r="L11" s="169"/>
      <c r="M11" s="169"/>
      <c r="N11" s="169"/>
      <c r="O11" s="169"/>
      <c r="P11" s="169"/>
      <c r="Q11" s="169"/>
      <c r="R11" s="169"/>
      <c r="S11" s="169"/>
      <c r="T11" s="169"/>
      <c r="U11" s="169"/>
      <c r="V11" s="169"/>
      <c r="W11" s="169"/>
      <c r="X11" s="169"/>
      <c r="Y11" s="169"/>
      <c r="Z11" s="169"/>
    </row>
    <row r="12" spans="1:26" ht="15.6">
      <c r="A12" s="170">
        <v>12</v>
      </c>
      <c r="B12" s="171" t="s">
        <v>365</v>
      </c>
      <c r="C12" s="172" t="s">
        <v>342</v>
      </c>
      <c r="D12" s="170">
        <v>2000</v>
      </c>
      <c r="E12" s="170">
        <v>1000</v>
      </c>
      <c r="F12" s="170">
        <f t="shared" si="0"/>
        <v>3000</v>
      </c>
      <c r="G12" s="173">
        <f t="shared" si="1"/>
        <v>3180</v>
      </c>
      <c r="H12" s="172" t="s">
        <v>343</v>
      </c>
      <c r="I12" s="177" t="s">
        <v>366</v>
      </c>
      <c r="J12" s="177" t="s">
        <v>358</v>
      </c>
      <c r="K12" s="177"/>
      <c r="L12" s="169"/>
      <c r="M12" s="169"/>
      <c r="N12" s="169"/>
      <c r="O12" s="169"/>
      <c r="P12" s="169"/>
      <c r="Q12" s="169"/>
      <c r="R12" s="169"/>
      <c r="S12" s="169"/>
      <c r="T12" s="169"/>
      <c r="U12" s="169"/>
      <c r="V12" s="169"/>
      <c r="W12" s="169"/>
      <c r="X12" s="169"/>
      <c r="Y12" s="169"/>
      <c r="Z12" s="169"/>
    </row>
    <row r="13" spans="1:26" ht="15.6">
      <c r="A13" s="170">
        <v>13</v>
      </c>
      <c r="B13" s="171" t="s">
        <v>367</v>
      </c>
      <c r="C13" s="172" t="s">
        <v>342</v>
      </c>
      <c r="D13" s="170">
        <v>2000</v>
      </c>
      <c r="E13" s="170">
        <v>1000</v>
      </c>
      <c r="F13" s="170">
        <f t="shared" si="0"/>
        <v>3000</v>
      </c>
      <c r="G13" s="173">
        <f t="shared" si="1"/>
        <v>3180</v>
      </c>
      <c r="H13" s="172" t="s">
        <v>343</v>
      </c>
      <c r="I13" s="177" t="s">
        <v>368</v>
      </c>
      <c r="J13" s="177" t="s">
        <v>358</v>
      </c>
      <c r="K13" s="177"/>
      <c r="L13" s="169"/>
      <c r="M13" s="169"/>
      <c r="N13" s="169"/>
      <c r="O13" s="169"/>
      <c r="P13" s="169"/>
      <c r="Q13" s="169"/>
      <c r="R13" s="169"/>
      <c r="S13" s="169"/>
      <c r="T13" s="169"/>
      <c r="U13" s="169"/>
      <c r="V13" s="169"/>
      <c r="W13" s="169"/>
      <c r="X13" s="169"/>
      <c r="Y13" s="169"/>
      <c r="Z13" s="169"/>
    </row>
    <row r="14" spans="1:26" ht="15.6">
      <c r="A14" s="170">
        <v>14</v>
      </c>
      <c r="B14" s="171" t="s">
        <v>369</v>
      </c>
      <c r="C14" s="172" t="s">
        <v>342</v>
      </c>
      <c r="D14" s="170">
        <v>2000</v>
      </c>
      <c r="E14" s="170">
        <v>1000</v>
      </c>
      <c r="F14" s="170">
        <f t="shared" si="0"/>
        <v>3000</v>
      </c>
      <c r="G14" s="173">
        <f t="shared" si="1"/>
        <v>3180</v>
      </c>
      <c r="H14" s="172" t="s">
        <v>343</v>
      </c>
      <c r="I14" s="177" t="s">
        <v>370</v>
      </c>
      <c r="J14" s="177" t="s">
        <v>358</v>
      </c>
      <c r="K14" s="177"/>
      <c r="L14" s="169"/>
      <c r="M14" s="169"/>
      <c r="N14" s="169"/>
      <c r="O14" s="169"/>
      <c r="P14" s="169"/>
      <c r="Q14" s="169"/>
      <c r="R14" s="169"/>
      <c r="S14" s="169"/>
      <c r="T14" s="169"/>
      <c r="U14" s="169"/>
      <c r="V14" s="169"/>
      <c r="W14" s="169"/>
      <c r="X14" s="169"/>
      <c r="Y14" s="169"/>
      <c r="Z14" s="169"/>
    </row>
    <row r="15" spans="1:26" ht="15.6">
      <c r="A15" s="170">
        <v>15</v>
      </c>
      <c r="B15" s="180" t="s">
        <v>371</v>
      </c>
      <c r="C15" s="172" t="s">
        <v>342</v>
      </c>
      <c r="D15" s="170">
        <v>2000</v>
      </c>
      <c r="E15" s="170">
        <v>1000</v>
      </c>
      <c r="F15" s="170">
        <f t="shared" si="0"/>
        <v>3000</v>
      </c>
      <c r="G15" s="173">
        <f t="shared" si="1"/>
        <v>3180</v>
      </c>
      <c r="H15" s="172" t="s">
        <v>343</v>
      </c>
      <c r="I15" s="175"/>
      <c r="J15" s="175"/>
      <c r="K15" s="175"/>
      <c r="L15" s="169"/>
      <c r="M15" s="169"/>
      <c r="N15" s="169"/>
      <c r="O15" s="169"/>
      <c r="P15" s="169"/>
      <c r="Q15" s="169"/>
      <c r="R15" s="169"/>
      <c r="S15" s="169"/>
      <c r="T15" s="169"/>
      <c r="U15" s="169"/>
      <c r="V15" s="169"/>
      <c r="W15" s="169"/>
      <c r="X15" s="169"/>
      <c r="Y15" s="169"/>
      <c r="Z15" s="169"/>
    </row>
    <row r="16" spans="1:26" ht="15.6">
      <c r="A16" s="170">
        <v>16</v>
      </c>
      <c r="B16" s="171" t="s">
        <v>372</v>
      </c>
      <c r="C16" s="172" t="s">
        <v>342</v>
      </c>
      <c r="D16" s="170">
        <v>2000</v>
      </c>
      <c r="E16" s="170">
        <v>1000</v>
      </c>
      <c r="F16" s="170">
        <f t="shared" si="0"/>
        <v>3000</v>
      </c>
      <c r="G16" s="173">
        <f t="shared" si="1"/>
        <v>3180</v>
      </c>
      <c r="H16" s="172" t="s">
        <v>343</v>
      </c>
      <c r="I16" s="175"/>
      <c r="J16" s="175"/>
      <c r="K16" s="175"/>
      <c r="L16" s="169"/>
      <c r="M16" s="169"/>
      <c r="N16" s="169"/>
      <c r="O16" s="169"/>
      <c r="P16" s="169"/>
      <c r="Q16" s="169"/>
      <c r="R16" s="169"/>
      <c r="S16" s="169"/>
      <c r="T16" s="169"/>
      <c r="U16" s="169"/>
      <c r="V16" s="169"/>
      <c r="W16" s="169"/>
      <c r="X16" s="169"/>
      <c r="Y16" s="169"/>
      <c r="Z16" s="169"/>
    </row>
    <row r="17" spans="1:26" ht="15.6">
      <c r="A17" s="170">
        <v>17</v>
      </c>
      <c r="B17" s="171" t="s">
        <v>373</v>
      </c>
      <c r="C17" s="172" t="s">
        <v>342</v>
      </c>
      <c r="D17" s="170">
        <v>2000</v>
      </c>
      <c r="E17" s="170">
        <v>1000</v>
      </c>
      <c r="F17" s="170">
        <f t="shared" si="0"/>
        <v>3000</v>
      </c>
      <c r="G17" s="173">
        <f t="shared" si="1"/>
        <v>3180</v>
      </c>
      <c r="H17" s="172" t="s">
        <v>343</v>
      </c>
      <c r="I17" s="175"/>
      <c r="J17" s="175"/>
      <c r="K17" s="175"/>
      <c r="L17" s="169"/>
      <c r="M17" s="169"/>
      <c r="N17" s="169"/>
      <c r="O17" s="169"/>
      <c r="P17" s="169"/>
      <c r="Q17" s="169"/>
      <c r="R17" s="169"/>
      <c r="S17" s="169"/>
      <c r="T17" s="169"/>
      <c r="U17" s="169"/>
      <c r="V17" s="169"/>
      <c r="W17" s="169"/>
      <c r="X17" s="169"/>
      <c r="Y17" s="169"/>
      <c r="Z17" s="169"/>
    </row>
    <row r="18" spans="1:26" ht="15.6">
      <c r="A18" s="170">
        <v>18</v>
      </c>
      <c r="B18" s="171" t="s">
        <v>374</v>
      </c>
      <c r="C18" s="172" t="s">
        <v>342</v>
      </c>
      <c r="D18" s="170">
        <v>2000</v>
      </c>
      <c r="E18" s="170">
        <v>1000</v>
      </c>
      <c r="F18" s="170">
        <f t="shared" si="0"/>
        <v>3000</v>
      </c>
      <c r="G18" s="173">
        <f t="shared" si="1"/>
        <v>3180</v>
      </c>
      <c r="H18" s="172" t="s">
        <v>343</v>
      </c>
      <c r="I18" s="175"/>
      <c r="J18" s="175"/>
      <c r="K18" s="175"/>
      <c r="L18" s="169"/>
      <c r="M18" s="169"/>
      <c r="N18" s="169"/>
      <c r="O18" s="169"/>
      <c r="P18" s="169"/>
      <c r="Q18" s="169"/>
      <c r="R18" s="169"/>
      <c r="S18" s="169"/>
      <c r="T18" s="169"/>
      <c r="U18" s="169"/>
      <c r="V18" s="169"/>
      <c r="W18" s="169"/>
      <c r="X18" s="169"/>
      <c r="Y18" s="169"/>
      <c r="Z18" s="169"/>
    </row>
    <row r="19" spans="1:26" ht="15.6">
      <c r="A19" s="170">
        <v>19</v>
      </c>
      <c r="B19" s="171" t="s">
        <v>375</v>
      </c>
      <c r="C19" s="172" t="s">
        <v>342</v>
      </c>
      <c r="D19" s="170">
        <v>2000</v>
      </c>
      <c r="E19" s="170">
        <v>1000</v>
      </c>
      <c r="F19" s="170">
        <f t="shared" si="0"/>
        <v>3000</v>
      </c>
      <c r="G19" s="173">
        <f t="shared" si="1"/>
        <v>3180</v>
      </c>
      <c r="H19" s="172" t="s">
        <v>343</v>
      </c>
      <c r="I19" s="175"/>
      <c r="J19" s="175"/>
      <c r="K19" s="175"/>
      <c r="L19" s="169"/>
      <c r="M19" s="169"/>
      <c r="N19" s="169"/>
      <c r="O19" s="169"/>
      <c r="P19" s="169"/>
      <c r="Q19" s="169"/>
      <c r="R19" s="169"/>
      <c r="S19" s="169"/>
      <c r="T19" s="169"/>
      <c r="U19" s="169"/>
      <c r="V19" s="169"/>
      <c r="W19" s="169"/>
      <c r="X19" s="169"/>
      <c r="Y19" s="169"/>
      <c r="Z19" s="169"/>
    </row>
    <row r="20" spans="1:26" ht="15.6">
      <c r="A20" s="170">
        <v>20</v>
      </c>
      <c r="B20" s="171" t="s">
        <v>376</v>
      </c>
      <c r="C20" s="172" t="s">
        <v>342</v>
      </c>
      <c r="D20" s="170">
        <v>2000</v>
      </c>
      <c r="E20" s="170">
        <v>1000</v>
      </c>
      <c r="F20" s="170">
        <f t="shared" si="0"/>
        <v>3000</v>
      </c>
      <c r="G20" s="173">
        <f t="shared" si="1"/>
        <v>3180</v>
      </c>
      <c r="H20" s="172" t="s">
        <v>343</v>
      </c>
      <c r="I20" s="175"/>
      <c r="J20" s="175"/>
      <c r="K20" s="175"/>
      <c r="L20" s="169"/>
      <c r="M20" s="169"/>
      <c r="N20" s="169"/>
      <c r="O20" s="169"/>
      <c r="P20" s="169"/>
      <c r="Q20" s="169"/>
      <c r="R20" s="169"/>
      <c r="S20" s="169"/>
      <c r="T20" s="169"/>
      <c r="U20" s="169"/>
      <c r="V20" s="169"/>
      <c r="W20" s="169"/>
      <c r="X20" s="169"/>
      <c r="Y20" s="169"/>
      <c r="Z20" s="169"/>
    </row>
    <row r="21" spans="1:26" ht="15.75" customHeight="1">
      <c r="A21" s="170">
        <v>21</v>
      </c>
      <c r="B21" s="171" t="s">
        <v>377</v>
      </c>
      <c r="C21" s="172" t="s">
        <v>342</v>
      </c>
      <c r="D21" s="170">
        <v>2000</v>
      </c>
      <c r="E21" s="170">
        <v>1000</v>
      </c>
      <c r="F21" s="170">
        <f t="shared" si="0"/>
        <v>3000</v>
      </c>
      <c r="G21" s="173">
        <f t="shared" si="1"/>
        <v>3180</v>
      </c>
      <c r="H21" s="172" t="s">
        <v>343</v>
      </c>
      <c r="I21" s="175"/>
      <c r="J21" s="175"/>
      <c r="K21" s="175"/>
      <c r="L21" s="169"/>
      <c r="M21" s="169"/>
      <c r="N21" s="169"/>
      <c r="O21" s="169"/>
      <c r="P21" s="169"/>
      <c r="Q21" s="169"/>
      <c r="R21" s="169"/>
      <c r="S21" s="169"/>
      <c r="T21" s="169"/>
      <c r="U21" s="169"/>
      <c r="V21" s="169"/>
      <c r="W21" s="169"/>
      <c r="X21" s="169"/>
      <c r="Y21" s="169"/>
      <c r="Z21" s="169"/>
    </row>
    <row r="22" spans="1:26" ht="15.75" customHeight="1">
      <c r="A22" s="170">
        <v>22</v>
      </c>
      <c r="B22" s="171" t="s">
        <v>378</v>
      </c>
      <c r="C22" s="172" t="s">
        <v>342</v>
      </c>
      <c r="D22" s="170">
        <v>2000</v>
      </c>
      <c r="E22" s="170">
        <v>1000</v>
      </c>
      <c r="F22" s="170">
        <f t="shared" si="0"/>
        <v>3000</v>
      </c>
      <c r="G22" s="173">
        <f t="shared" si="1"/>
        <v>3180</v>
      </c>
      <c r="H22" s="172" t="s">
        <v>343</v>
      </c>
      <c r="I22" s="175"/>
      <c r="J22" s="175"/>
      <c r="K22" s="175"/>
      <c r="L22" s="169"/>
      <c r="M22" s="169"/>
      <c r="N22" s="169"/>
      <c r="O22" s="169"/>
      <c r="P22" s="169"/>
      <c r="Q22" s="169"/>
      <c r="R22" s="169"/>
      <c r="S22" s="169"/>
      <c r="T22" s="169"/>
      <c r="U22" s="169"/>
      <c r="V22" s="169"/>
      <c r="W22" s="169"/>
      <c r="X22" s="169"/>
      <c r="Y22" s="169"/>
      <c r="Z22" s="169"/>
    </row>
    <row r="23" spans="1:26" ht="15.75" customHeight="1">
      <c r="A23" s="170">
        <v>23</v>
      </c>
      <c r="B23" s="171" t="s">
        <v>379</v>
      </c>
      <c r="C23" s="172" t="s">
        <v>342</v>
      </c>
      <c r="D23" s="170">
        <v>2000</v>
      </c>
      <c r="E23" s="170">
        <v>1000</v>
      </c>
      <c r="F23" s="170">
        <f t="shared" si="0"/>
        <v>3000</v>
      </c>
      <c r="G23" s="173">
        <f t="shared" si="1"/>
        <v>3180</v>
      </c>
      <c r="H23" s="172" t="s">
        <v>343</v>
      </c>
      <c r="I23" s="175"/>
      <c r="J23" s="175"/>
      <c r="K23" s="175"/>
      <c r="L23" s="169"/>
      <c r="M23" s="169"/>
      <c r="N23" s="169"/>
      <c r="O23" s="169"/>
      <c r="P23" s="169"/>
      <c r="Q23" s="169"/>
      <c r="R23" s="169"/>
      <c r="S23" s="169"/>
      <c r="T23" s="169"/>
      <c r="U23" s="169"/>
      <c r="V23" s="169"/>
      <c r="W23" s="169"/>
      <c r="X23" s="169"/>
      <c r="Y23" s="169"/>
      <c r="Z23" s="169"/>
    </row>
    <row r="24" spans="1:26" ht="15.75" customHeight="1">
      <c r="A24" s="170">
        <v>24</v>
      </c>
      <c r="B24" s="171" t="s">
        <v>380</v>
      </c>
      <c r="C24" s="172" t="s">
        <v>342</v>
      </c>
      <c r="D24" s="170">
        <v>2000</v>
      </c>
      <c r="E24" s="170">
        <v>1000</v>
      </c>
      <c r="F24" s="170">
        <f t="shared" si="0"/>
        <v>3000</v>
      </c>
      <c r="G24" s="173">
        <f t="shared" si="1"/>
        <v>3180</v>
      </c>
      <c r="H24" s="172" t="s">
        <v>343</v>
      </c>
      <c r="I24" s="175"/>
      <c r="J24" s="175"/>
      <c r="K24" s="175"/>
      <c r="L24" s="169"/>
      <c r="M24" s="169"/>
      <c r="N24" s="169"/>
      <c r="O24" s="169"/>
      <c r="P24" s="169"/>
      <c r="Q24" s="169"/>
      <c r="R24" s="169"/>
      <c r="S24" s="169"/>
      <c r="T24" s="169"/>
      <c r="U24" s="169"/>
      <c r="V24" s="169"/>
      <c r="W24" s="169"/>
      <c r="X24" s="169"/>
      <c r="Y24" s="169"/>
      <c r="Z24" s="169"/>
    </row>
    <row r="25" spans="1:26" ht="15.75" customHeight="1">
      <c r="A25" s="170">
        <v>25</v>
      </c>
      <c r="B25" s="171" t="s">
        <v>381</v>
      </c>
      <c r="C25" s="172" t="s">
        <v>342</v>
      </c>
      <c r="D25" s="170">
        <v>2000</v>
      </c>
      <c r="E25" s="170">
        <v>1000</v>
      </c>
      <c r="F25" s="170">
        <f t="shared" si="0"/>
        <v>3000</v>
      </c>
      <c r="G25" s="173">
        <f t="shared" si="1"/>
        <v>3180</v>
      </c>
      <c r="H25" s="172" t="s">
        <v>343</v>
      </c>
      <c r="I25" s="175"/>
      <c r="J25" s="175"/>
      <c r="K25" s="175"/>
      <c r="L25" s="169"/>
      <c r="M25" s="169"/>
      <c r="N25" s="169"/>
      <c r="O25" s="169"/>
      <c r="P25" s="169"/>
      <c r="Q25" s="169"/>
      <c r="R25" s="169"/>
      <c r="S25" s="169"/>
      <c r="T25" s="169"/>
      <c r="U25" s="169"/>
      <c r="V25" s="169"/>
      <c r="W25" s="169"/>
      <c r="X25" s="169"/>
      <c r="Y25" s="169"/>
      <c r="Z25" s="169"/>
    </row>
    <row r="26" spans="1:26" ht="15.75" customHeight="1">
      <c r="A26" s="170">
        <v>26</v>
      </c>
      <c r="B26" s="171" t="s">
        <v>382</v>
      </c>
      <c r="C26" s="172" t="s">
        <v>342</v>
      </c>
      <c r="D26" s="170">
        <v>2000</v>
      </c>
      <c r="E26" s="170">
        <v>1000</v>
      </c>
      <c r="F26" s="170">
        <f t="shared" si="0"/>
        <v>3000</v>
      </c>
      <c r="G26" s="173">
        <f t="shared" si="1"/>
        <v>3180</v>
      </c>
      <c r="H26" s="172" t="s">
        <v>343</v>
      </c>
      <c r="I26" s="175"/>
      <c r="J26" s="175"/>
      <c r="K26" s="175"/>
      <c r="L26" s="169"/>
      <c r="M26" s="169"/>
      <c r="N26" s="169"/>
      <c r="O26" s="169"/>
      <c r="P26" s="169"/>
      <c r="Q26" s="169"/>
      <c r="R26" s="169"/>
      <c r="S26" s="169"/>
      <c r="T26" s="169"/>
      <c r="U26" s="169"/>
      <c r="V26" s="169"/>
      <c r="W26" s="169"/>
      <c r="X26" s="169"/>
      <c r="Y26" s="169"/>
      <c r="Z26" s="169"/>
    </row>
    <row r="27" spans="1:26" ht="15.75" customHeight="1">
      <c r="A27" s="170">
        <v>27</v>
      </c>
      <c r="B27" s="171" t="s">
        <v>383</v>
      </c>
      <c r="C27" s="172" t="s">
        <v>342</v>
      </c>
      <c r="D27" s="170">
        <v>2000</v>
      </c>
      <c r="E27" s="170">
        <v>1000</v>
      </c>
      <c r="F27" s="170">
        <f t="shared" si="0"/>
        <v>3000</v>
      </c>
      <c r="G27" s="173">
        <f t="shared" si="1"/>
        <v>3180</v>
      </c>
      <c r="H27" s="172" t="s">
        <v>343</v>
      </c>
      <c r="I27" s="175"/>
      <c r="J27" s="175"/>
      <c r="K27" s="175"/>
      <c r="L27" s="169"/>
      <c r="M27" s="169"/>
      <c r="N27" s="169"/>
      <c r="O27" s="169"/>
      <c r="P27" s="169"/>
      <c r="Q27" s="169"/>
      <c r="R27" s="169"/>
      <c r="S27" s="169"/>
      <c r="T27" s="169"/>
      <c r="U27" s="169"/>
      <c r="V27" s="169"/>
      <c r="W27" s="169"/>
      <c r="X27" s="169"/>
      <c r="Y27" s="169"/>
      <c r="Z27" s="169"/>
    </row>
    <row r="28" spans="1:26" ht="15.75" customHeight="1">
      <c r="A28" s="170">
        <v>28</v>
      </c>
      <c r="B28" s="171" t="s">
        <v>384</v>
      </c>
      <c r="C28" s="172" t="s">
        <v>342</v>
      </c>
      <c r="D28" s="170">
        <v>2000</v>
      </c>
      <c r="E28" s="170">
        <v>1000</v>
      </c>
      <c r="F28" s="170">
        <f t="shared" si="0"/>
        <v>3000</v>
      </c>
      <c r="G28" s="173">
        <f t="shared" si="1"/>
        <v>3180</v>
      </c>
      <c r="H28" s="172" t="s">
        <v>343</v>
      </c>
      <c r="I28" s="175"/>
      <c r="J28" s="175"/>
      <c r="K28" s="175"/>
      <c r="L28" s="169"/>
      <c r="M28" s="169"/>
      <c r="N28" s="169"/>
      <c r="O28" s="169"/>
      <c r="P28" s="169"/>
      <c r="Q28" s="169"/>
      <c r="R28" s="169"/>
      <c r="S28" s="169"/>
      <c r="T28" s="169"/>
      <c r="U28" s="169"/>
      <c r="V28" s="169"/>
      <c r="W28" s="169"/>
      <c r="X28" s="169"/>
      <c r="Y28" s="169"/>
      <c r="Z28" s="169"/>
    </row>
    <row r="29" spans="1:26" ht="15.75" customHeight="1">
      <c r="A29" s="170">
        <v>29</v>
      </c>
      <c r="B29" s="171" t="s">
        <v>385</v>
      </c>
      <c r="C29" s="172" t="s">
        <v>342</v>
      </c>
      <c r="D29" s="170">
        <v>2000</v>
      </c>
      <c r="E29" s="170">
        <v>1000</v>
      </c>
      <c r="F29" s="170">
        <f t="shared" si="0"/>
        <v>3000</v>
      </c>
      <c r="G29" s="173">
        <f t="shared" si="1"/>
        <v>3180</v>
      </c>
      <c r="H29" s="172" t="s">
        <v>343</v>
      </c>
      <c r="I29" s="175"/>
      <c r="J29" s="175"/>
      <c r="K29" s="175"/>
      <c r="L29" s="169"/>
      <c r="M29" s="169"/>
      <c r="N29" s="169"/>
      <c r="O29" s="169"/>
      <c r="P29" s="169"/>
      <c r="Q29" s="169"/>
      <c r="R29" s="169"/>
      <c r="S29" s="169"/>
      <c r="T29" s="169"/>
      <c r="U29" s="169"/>
      <c r="V29" s="169"/>
      <c r="W29" s="169"/>
      <c r="X29" s="169"/>
      <c r="Y29" s="169"/>
      <c r="Z29" s="169"/>
    </row>
    <row r="30" spans="1:26" ht="15.75" customHeight="1">
      <c r="A30" s="170">
        <v>30</v>
      </c>
      <c r="B30" s="171" t="s">
        <v>386</v>
      </c>
      <c r="C30" s="172" t="s">
        <v>342</v>
      </c>
      <c r="D30" s="170">
        <v>1500</v>
      </c>
      <c r="E30" s="170">
        <v>1000</v>
      </c>
      <c r="F30" s="170">
        <f t="shared" si="0"/>
        <v>2500</v>
      </c>
      <c r="G30" s="173">
        <f t="shared" si="1"/>
        <v>2680</v>
      </c>
      <c r="H30" s="172" t="s">
        <v>343</v>
      </c>
      <c r="I30" s="175"/>
      <c r="J30" s="175"/>
      <c r="K30" s="175"/>
      <c r="L30" s="169"/>
      <c r="M30" s="169"/>
      <c r="N30" s="169"/>
      <c r="O30" s="169"/>
      <c r="P30" s="169"/>
      <c r="Q30" s="169"/>
      <c r="R30" s="169"/>
      <c r="S30" s="169"/>
      <c r="T30" s="169"/>
      <c r="U30" s="169"/>
      <c r="V30" s="169"/>
      <c r="W30" s="169"/>
      <c r="X30" s="169"/>
      <c r="Y30" s="169"/>
      <c r="Z30" s="169"/>
    </row>
    <row r="31" spans="1:26" ht="15.75" customHeight="1">
      <c r="A31" s="170">
        <v>31</v>
      </c>
      <c r="B31" s="171" t="s">
        <v>387</v>
      </c>
      <c r="C31" s="172" t="s">
        <v>342</v>
      </c>
      <c r="D31" s="170">
        <v>1500</v>
      </c>
      <c r="E31" s="170">
        <v>1000</v>
      </c>
      <c r="F31" s="170">
        <f t="shared" si="0"/>
        <v>2500</v>
      </c>
      <c r="G31" s="173">
        <f t="shared" si="1"/>
        <v>2680</v>
      </c>
      <c r="H31" s="172" t="s">
        <v>343</v>
      </c>
      <c r="I31" s="175"/>
      <c r="J31" s="175"/>
      <c r="K31" s="175"/>
      <c r="L31" s="169"/>
      <c r="M31" s="169"/>
      <c r="N31" s="169"/>
      <c r="O31" s="169"/>
      <c r="P31" s="169"/>
      <c r="Q31" s="169"/>
      <c r="R31" s="169"/>
      <c r="S31" s="169"/>
      <c r="T31" s="169"/>
      <c r="U31" s="169"/>
      <c r="V31" s="169"/>
      <c r="W31" s="169"/>
      <c r="X31" s="169"/>
      <c r="Y31" s="169"/>
      <c r="Z31" s="169"/>
    </row>
    <row r="32" spans="1:26" ht="15.75" customHeight="1">
      <c r="A32" s="170">
        <v>32</v>
      </c>
      <c r="B32" s="171" t="s">
        <v>388</v>
      </c>
      <c r="C32" s="172" t="s">
        <v>342</v>
      </c>
      <c r="D32" s="170">
        <v>2000</v>
      </c>
      <c r="E32" s="170">
        <v>1000</v>
      </c>
      <c r="F32" s="170">
        <f t="shared" si="0"/>
        <v>3000</v>
      </c>
      <c r="G32" s="173">
        <f t="shared" si="1"/>
        <v>3180</v>
      </c>
      <c r="H32" s="172" t="s">
        <v>343</v>
      </c>
      <c r="I32" s="175"/>
      <c r="J32" s="175"/>
      <c r="K32" s="175"/>
      <c r="L32" s="169"/>
      <c r="M32" s="169"/>
      <c r="N32" s="169"/>
      <c r="O32" s="169"/>
      <c r="P32" s="169"/>
      <c r="Q32" s="169"/>
      <c r="R32" s="169"/>
      <c r="S32" s="169"/>
      <c r="T32" s="169"/>
      <c r="U32" s="169"/>
      <c r="V32" s="169"/>
      <c r="W32" s="169"/>
      <c r="X32" s="169"/>
      <c r="Y32" s="169"/>
      <c r="Z32" s="169"/>
    </row>
    <row r="33" spans="1:26" ht="15.75" customHeight="1">
      <c r="A33" s="170">
        <v>33</v>
      </c>
      <c r="B33" s="171" t="s">
        <v>389</v>
      </c>
      <c r="C33" s="172" t="s">
        <v>342</v>
      </c>
      <c r="D33" s="170">
        <v>1500</v>
      </c>
      <c r="E33" s="170">
        <v>1000</v>
      </c>
      <c r="F33" s="170">
        <f t="shared" si="0"/>
        <v>2500</v>
      </c>
      <c r="G33" s="173">
        <f t="shared" si="1"/>
        <v>2680</v>
      </c>
      <c r="H33" s="172" t="s">
        <v>343</v>
      </c>
      <c r="I33" s="175"/>
      <c r="J33" s="175"/>
      <c r="K33" s="175"/>
      <c r="L33" s="169"/>
      <c r="M33" s="169"/>
      <c r="N33" s="169"/>
      <c r="O33" s="169"/>
      <c r="P33" s="169"/>
      <c r="Q33" s="169"/>
      <c r="R33" s="169"/>
      <c r="S33" s="169"/>
      <c r="T33" s="169"/>
      <c r="U33" s="169"/>
      <c r="V33" s="169"/>
      <c r="W33" s="169"/>
      <c r="X33" s="169"/>
      <c r="Y33" s="169"/>
      <c r="Z33" s="169"/>
    </row>
    <row r="34" spans="1:26" ht="15.75" customHeight="1">
      <c r="A34" s="170">
        <v>34</v>
      </c>
      <c r="B34" s="171" t="s">
        <v>390</v>
      </c>
      <c r="C34" s="172" t="s">
        <v>342</v>
      </c>
      <c r="D34" s="170">
        <v>1500</v>
      </c>
      <c r="E34" s="170">
        <v>1000</v>
      </c>
      <c r="F34" s="170">
        <f t="shared" si="0"/>
        <v>2500</v>
      </c>
      <c r="G34" s="173">
        <f t="shared" si="1"/>
        <v>2680</v>
      </c>
      <c r="H34" s="172" t="s">
        <v>343</v>
      </c>
      <c r="I34" s="175"/>
      <c r="J34" s="175"/>
      <c r="K34" s="175"/>
      <c r="L34" s="169"/>
      <c r="M34" s="169"/>
      <c r="N34" s="169"/>
      <c r="O34" s="169"/>
      <c r="P34" s="169"/>
      <c r="Q34" s="169"/>
      <c r="R34" s="169"/>
      <c r="S34" s="169"/>
      <c r="T34" s="169"/>
      <c r="U34" s="169"/>
      <c r="V34" s="169"/>
      <c r="W34" s="169"/>
      <c r="X34" s="169"/>
      <c r="Y34" s="169"/>
      <c r="Z34" s="169"/>
    </row>
    <row r="35" spans="1:26" ht="15.75" customHeight="1">
      <c r="A35" s="170">
        <v>35</v>
      </c>
      <c r="B35" s="171" t="s">
        <v>391</v>
      </c>
      <c r="C35" s="172" t="s">
        <v>342</v>
      </c>
      <c r="D35" s="170">
        <v>1500</v>
      </c>
      <c r="E35" s="170">
        <v>1000</v>
      </c>
      <c r="F35" s="170">
        <f t="shared" si="0"/>
        <v>2500</v>
      </c>
      <c r="G35" s="173">
        <f t="shared" si="1"/>
        <v>2680</v>
      </c>
      <c r="H35" s="172" t="s">
        <v>343</v>
      </c>
      <c r="I35" s="175"/>
      <c r="J35" s="175"/>
      <c r="K35" s="175"/>
      <c r="L35" s="169"/>
      <c r="M35" s="169"/>
      <c r="N35" s="169"/>
      <c r="O35" s="169"/>
      <c r="P35" s="169"/>
      <c r="Q35" s="169"/>
      <c r="R35" s="169"/>
      <c r="S35" s="169"/>
      <c r="T35" s="169"/>
      <c r="U35" s="169"/>
      <c r="V35" s="169"/>
      <c r="W35" s="169"/>
      <c r="X35" s="169"/>
      <c r="Y35" s="169"/>
      <c r="Z35" s="169"/>
    </row>
    <row r="36" spans="1:26" ht="15.75" customHeight="1">
      <c r="A36" s="170">
        <v>36</v>
      </c>
      <c r="B36" s="171" t="s">
        <v>392</v>
      </c>
      <c r="C36" s="172" t="s">
        <v>342</v>
      </c>
      <c r="D36" s="170">
        <v>1500</v>
      </c>
      <c r="E36" s="170">
        <v>1000</v>
      </c>
      <c r="F36" s="170">
        <f t="shared" si="0"/>
        <v>2500</v>
      </c>
      <c r="G36" s="173">
        <f t="shared" si="1"/>
        <v>2680</v>
      </c>
      <c r="H36" s="172" t="s">
        <v>343</v>
      </c>
      <c r="I36" s="175"/>
      <c r="J36" s="175"/>
      <c r="K36" s="175"/>
      <c r="L36" s="169"/>
      <c r="M36" s="169"/>
      <c r="N36" s="169"/>
      <c r="O36" s="169"/>
      <c r="P36" s="169"/>
      <c r="Q36" s="169"/>
      <c r="R36" s="169"/>
      <c r="S36" s="169"/>
      <c r="T36" s="169"/>
      <c r="U36" s="169"/>
      <c r="V36" s="169"/>
      <c r="W36" s="169"/>
      <c r="X36" s="169"/>
      <c r="Y36" s="169"/>
      <c r="Z36" s="169"/>
    </row>
    <row r="37" spans="1:26" ht="15.75" customHeight="1">
      <c r="A37" s="170">
        <v>37</v>
      </c>
      <c r="B37" s="171" t="s">
        <v>393</v>
      </c>
      <c r="C37" s="172" t="s">
        <v>342</v>
      </c>
      <c r="D37" s="170">
        <v>1500</v>
      </c>
      <c r="E37" s="170">
        <v>1000</v>
      </c>
      <c r="F37" s="170">
        <f t="shared" si="0"/>
        <v>2500</v>
      </c>
      <c r="G37" s="173">
        <f t="shared" si="1"/>
        <v>2680</v>
      </c>
      <c r="H37" s="172" t="s">
        <v>343</v>
      </c>
      <c r="I37" s="175"/>
      <c r="J37" s="175"/>
      <c r="K37" s="175"/>
      <c r="L37" s="169"/>
      <c r="M37" s="169"/>
      <c r="N37" s="169"/>
      <c r="O37" s="169"/>
      <c r="P37" s="169"/>
      <c r="Q37" s="169"/>
      <c r="R37" s="169"/>
      <c r="S37" s="169"/>
      <c r="T37" s="169"/>
      <c r="U37" s="169"/>
      <c r="V37" s="169"/>
      <c r="W37" s="169"/>
      <c r="X37" s="169"/>
      <c r="Y37" s="169"/>
      <c r="Z37" s="169"/>
    </row>
    <row r="38" spans="1:26" ht="15.75" customHeight="1">
      <c r="A38" s="170">
        <v>38</v>
      </c>
      <c r="B38" s="171" t="s">
        <v>394</v>
      </c>
      <c r="C38" s="172" t="s">
        <v>342</v>
      </c>
      <c r="D38" s="170">
        <v>1500</v>
      </c>
      <c r="E38" s="170">
        <v>1000</v>
      </c>
      <c r="F38" s="170">
        <f t="shared" si="0"/>
        <v>2500</v>
      </c>
      <c r="G38" s="173">
        <f t="shared" si="1"/>
        <v>2680</v>
      </c>
      <c r="H38" s="172" t="s">
        <v>343</v>
      </c>
      <c r="I38" s="175"/>
      <c r="J38" s="175"/>
      <c r="K38" s="175"/>
      <c r="L38" s="169"/>
      <c r="M38" s="169"/>
      <c r="N38" s="169"/>
      <c r="O38" s="169"/>
      <c r="P38" s="169"/>
      <c r="Q38" s="169"/>
      <c r="R38" s="169"/>
      <c r="S38" s="169"/>
      <c r="T38" s="169"/>
      <c r="U38" s="169"/>
      <c r="V38" s="169"/>
      <c r="W38" s="169"/>
      <c r="X38" s="169"/>
      <c r="Y38" s="169"/>
      <c r="Z38" s="169"/>
    </row>
    <row r="39" spans="1:26" ht="15.75" customHeight="1">
      <c r="A39" s="170">
        <v>39</v>
      </c>
      <c r="B39" s="171" t="s">
        <v>395</v>
      </c>
      <c r="C39" s="172" t="s">
        <v>342</v>
      </c>
      <c r="D39" s="170">
        <v>1500</v>
      </c>
      <c r="E39" s="170">
        <v>1000</v>
      </c>
      <c r="F39" s="170">
        <f t="shared" si="0"/>
        <v>2500</v>
      </c>
      <c r="G39" s="173">
        <f t="shared" si="1"/>
        <v>2680</v>
      </c>
      <c r="H39" s="172" t="s">
        <v>343</v>
      </c>
      <c r="I39" s="175"/>
      <c r="J39" s="175"/>
      <c r="K39" s="175"/>
      <c r="L39" s="169"/>
      <c r="M39" s="169"/>
      <c r="N39" s="169"/>
      <c r="O39" s="169"/>
      <c r="P39" s="169"/>
      <c r="Q39" s="169"/>
      <c r="R39" s="169"/>
      <c r="S39" s="169"/>
      <c r="T39" s="169"/>
      <c r="U39" s="169"/>
      <c r="V39" s="169"/>
      <c r="W39" s="169"/>
      <c r="X39" s="169"/>
      <c r="Y39" s="169"/>
      <c r="Z39" s="169"/>
    </row>
    <row r="40" spans="1:26" ht="15.75" customHeight="1">
      <c r="A40" s="170">
        <v>40</v>
      </c>
      <c r="B40" s="171" t="s">
        <v>396</v>
      </c>
      <c r="C40" s="172" t="s">
        <v>342</v>
      </c>
      <c r="D40" s="170">
        <v>1500</v>
      </c>
      <c r="E40" s="170">
        <v>1000</v>
      </c>
      <c r="F40" s="170">
        <f t="shared" si="0"/>
        <v>2500</v>
      </c>
      <c r="G40" s="173">
        <f t="shared" si="1"/>
        <v>2680</v>
      </c>
      <c r="H40" s="172" t="s">
        <v>343</v>
      </c>
      <c r="I40" s="175"/>
      <c r="J40" s="175"/>
      <c r="K40" s="175"/>
      <c r="L40" s="169"/>
      <c r="M40" s="169"/>
      <c r="N40" s="169"/>
      <c r="O40" s="169"/>
      <c r="P40" s="169"/>
      <c r="Q40" s="169"/>
      <c r="R40" s="169"/>
      <c r="S40" s="169"/>
      <c r="T40" s="169"/>
      <c r="U40" s="169"/>
      <c r="V40" s="169"/>
      <c r="W40" s="169"/>
      <c r="X40" s="169"/>
      <c r="Y40" s="169"/>
      <c r="Z40" s="169"/>
    </row>
    <row r="41" spans="1:26" ht="15.75" customHeight="1">
      <c r="A41" s="170">
        <v>41</v>
      </c>
      <c r="B41" s="171" t="s">
        <v>397</v>
      </c>
      <c r="C41" s="172" t="s">
        <v>342</v>
      </c>
      <c r="D41" s="170">
        <v>1500</v>
      </c>
      <c r="E41" s="170">
        <v>1000</v>
      </c>
      <c r="F41" s="170">
        <f t="shared" si="0"/>
        <v>2500</v>
      </c>
      <c r="G41" s="173">
        <f t="shared" si="1"/>
        <v>2680</v>
      </c>
      <c r="H41" s="172" t="s">
        <v>343</v>
      </c>
      <c r="I41" s="175"/>
      <c r="J41" s="175"/>
      <c r="K41" s="175"/>
      <c r="L41" s="169"/>
      <c r="M41" s="169"/>
      <c r="N41" s="169"/>
      <c r="O41" s="169"/>
      <c r="P41" s="169"/>
      <c r="Q41" s="169"/>
      <c r="R41" s="169"/>
      <c r="S41" s="169"/>
      <c r="T41" s="169"/>
      <c r="U41" s="169"/>
      <c r="V41" s="169"/>
      <c r="W41" s="169"/>
      <c r="X41" s="169"/>
      <c r="Y41" s="169"/>
      <c r="Z41" s="169"/>
    </row>
    <row r="42" spans="1:26" ht="15.75" customHeight="1">
      <c r="A42" s="170">
        <v>42</v>
      </c>
      <c r="B42" s="171" t="s">
        <v>398</v>
      </c>
      <c r="C42" s="172" t="s">
        <v>342</v>
      </c>
      <c r="D42" s="170">
        <v>1500</v>
      </c>
      <c r="E42" s="170">
        <v>1000</v>
      </c>
      <c r="F42" s="170">
        <f t="shared" si="0"/>
        <v>2500</v>
      </c>
      <c r="G42" s="173">
        <f t="shared" si="1"/>
        <v>2680</v>
      </c>
      <c r="H42" s="172" t="s">
        <v>343</v>
      </c>
      <c r="I42" s="175"/>
      <c r="J42" s="175"/>
      <c r="K42" s="175"/>
      <c r="L42" s="169"/>
      <c r="M42" s="169"/>
      <c r="N42" s="169"/>
      <c r="O42" s="169"/>
      <c r="P42" s="169"/>
      <c r="Q42" s="169"/>
      <c r="R42" s="169"/>
      <c r="S42" s="169"/>
      <c r="T42" s="169"/>
      <c r="U42" s="169"/>
      <c r="V42" s="169"/>
      <c r="W42" s="169"/>
      <c r="X42" s="169"/>
      <c r="Y42" s="169"/>
      <c r="Z42" s="169"/>
    </row>
    <row r="43" spans="1:26" ht="15.75" customHeight="1">
      <c r="A43" s="170">
        <v>43</v>
      </c>
      <c r="B43" s="171" t="s">
        <v>399</v>
      </c>
      <c r="C43" s="172" t="s">
        <v>342</v>
      </c>
      <c r="D43" s="170">
        <v>1500</v>
      </c>
      <c r="E43" s="170">
        <v>1000</v>
      </c>
      <c r="F43" s="170">
        <f t="shared" si="0"/>
        <v>2500</v>
      </c>
      <c r="G43" s="173">
        <f t="shared" si="1"/>
        <v>2680</v>
      </c>
      <c r="H43" s="172" t="s">
        <v>343</v>
      </c>
      <c r="I43" s="175"/>
      <c r="J43" s="175"/>
      <c r="K43" s="175"/>
      <c r="L43" s="169"/>
      <c r="M43" s="169"/>
      <c r="N43" s="169"/>
      <c r="O43" s="169"/>
      <c r="P43" s="169"/>
      <c r="Q43" s="169"/>
      <c r="R43" s="169"/>
      <c r="S43" s="169"/>
      <c r="T43" s="169"/>
      <c r="U43" s="169"/>
      <c r="V43" s="169"/>
      <c r="W43" s="169"/>
      <c r="X43" s="169"/>
      <c r="Y43" s="169"/>
      <c r="Z43" s="169"/>
    </row>
    <row r="44" spans="1:26" ht="15.75" customHeight="1">
      <c r="A44" s="170">
        <v>44</v>
      </c>
      <c r="B44" s="171" t="s">
        <v>400</v>
      </c>
      <c r="C44" s="172" t="s">
        <v>342</v>
      </c>
      <c r="D44" s="170">
        <v>1500</v>
      </c>
      <c r="E44" s="170">
        <v>1000</v>
      </c>
      <c r="F44" s="170">
        <f t="shared" si="0"/>
        <v>2500</v>
      </c>
      <c r="G44" s="173">
        <f t="shared" si="1"/>
        <v>2680</v>
      </c>
      <c r="H44" s="172" t="s">
        <v>343</v>
      </c>
      <c r="I44" s="175"/>
      <c r="J44" s="175"/>
      <c r="K44" s="175"/>
      <c r="L44" s="169"/>
      <c r="M44" s="169"/>
      <c r="N44" s="169"/>
      <c r="O44" s="169"/>
      <c r="P44" s="169"/>
      <c r="Q44" s="169"/>
      <c r="R44" s="169"/>
      <c r="S44" s="169"/>
      <c r="T44" s="169"/>
      <c r="U44" s="169"/>
      <c r="V44" s="169"/>
      <c r="W44" s="169"/>
      <c r="X44" s="169"/>
      <c r="Y44" s="169"/>
      <c r="Z44" s="169"/>
    </row>
    <row r="45" spans="1:26" ht="15.75" customHeight="1">
      <c r="A45" s="170">
        <v>45</v>
      </c>
      <c r="B45" s="171" t="s">
        <v>401</v>
      </c>
      <c r="C45" s="172" t="s">
        <v>342</v>
      </c>
      <c r="D45" s="170">
        <v>1500</v>
      </c>
      <c r="E45" s="170">
        <v>1000</v>
      </c>
      <c r="F45" s="170">
        <f t="shared" si="0"/>
        <v>2500</v>
      </c>
      <c r="G45" s="173">
        <f t="shared" si="1"/>
        <v>2680</v>
      </c>
      <c r="H45" s="172" t="s">
        <v>343</v>
      </c>
      <c r="I45" s="175"/>
      <c r="J45" s="175"/>
      <c r="K45" s="175"/>
      <c r="L45" s="169"/>
      <c r="M45" s="169"/>
      <c r="N45" s="169"/>
      <c r="O45" s="169"/>
      <c r="P45" s="169"/>
      <c r="Q45" s="169"/>
      <c r="R45" s="169"/>
      <c r="S45" s="169"/>
      <c r="T45" s="169"/>
      <c r="U45" s="169"/>
      <c r="V45" s="169"/>
      <c r="W45" s="169"/>
      <c r="X45" s="169"/>
      <c r="Y45" s="169"/>
      <c r="Z45" s="169"/>
    </row>
    <row r="46" spans="1:26" ht="15.75" customHeight="1">
      <c r="A46" s="170">
        <v>46</v>
      </c>
      <c r="B46" s="171" t="s">
        <v>402</v>
      </c>
      <c r="C46" s="172" t="s">
        <v>342</v>
      </c>
      <c r="D46" s="170">
        <v>1500</v>
      </c>
      <c r="E46" s="170">
        <v>1000</v>
      </c>
      <c r="F46" s="170">
        <f t="shared" si="0"/>
        <v>2500</v>
      </c>
      <c r="G46" s="173">
        <f t="shared" si="1"/>
        <v>2680</v>
      </c>
      <c r="H46" s="172" t="s">
        <v>343</v>
      </c>
      <c r="I46" s="175"/>
      <c r="J46" s="175"/>
      <c r="K46" s="175"/>
      <c r="L46" s="169"/>
      <c r="M46" s="169"/>
      <c r="N46" s="169"/>
      <c r="O46" s="169"/>
      <c r="P46" s="169"/>
      <c r="Q46" s="169"/>
      <c r="R46" s="169"/>
      <c r="S46" s="169"/>
      <c r="T46" s="169"/>
      <c r="U46" s="169"/>
      <c r="V46" s="169"/>
      <c r="W46" s="169"/>
      <c r="X46" s="169"/>
      <c r="Y46" s="169"/>
      <c r="Z46" s="169"/>
    </row>
    <row r="47" spans="1:26" ht="15.75" customHeight="1">
      <c r="A47" s="170">
        <v>47</v>
      </c>
      <c r="B47" s="171" t="s">
        <v>403</v>
      </c>
      <c r="C47" s="172" t="s">
        <v>342</v>
      </c>
      <c r="D47" s="170">
        <v>1500</v>
      </c>
      <c r="E47" s="170">
        <v>1000</v>
      </c>
      <c r="F47" s="170">
        <f t="shared" si="0"/>
        <v>2500</v>
      </c>
      <c r="G47" s="173">
        <f t="shared" si="1"/>
        <v>2680</v>
      </c>
      <c r="H47" s="172" t="s">
        <v>343</v>
      </c>
      <c r="I47" s="175"/>
      <c r="J47" s="175"/>
      <c r="K47" s="175"/>
      <c r="L47" s="169"/>
      <c r="M47" s="169"/>
      <c r="N47" s="169"/>
      <c r="O47" s="169"/>
      <c r="P47" s="169"/>
      <c r="Q47" s="169"/>
      <c r="R47" s="169"/>
      <c r="S47" s="169"/>
      <c r="T47" s="169"/>
      <c r="U47" s="169"/>
      <c r="V47" s="169"/>
      <c r="W47" s="169"/>
      <c r="X47" s="169"/>
      <c r="Y47" s="169"/>
      <c r="Z47" s="169"/>
    </row>
    <row r="48" spans="1:26" ht="15.75" customHeight="1">
      <c r="A48" s="170">
        <v>48</v>
      </c>
      <c r="B48" s="171" t="s">
        <v>404</v>
      </c>
      <c r="C48" s="172" t="s">
        <v>342</v>
      </c>
      <c r="D48" s="170">
        <v>1500</v>
      </c>
      <c r="E48" s="170">
        <v>1000</v>
      </c>
      <c r="F48" s="170">
        <f t="shared" si="0"/>
        <v>2500</v>
      </c>
      <c r="G48" s="173">
        <f t="shared" si="1"/>
        <v>2680</v>
      </c>
      <c r="H48" s="172" t="s">
        <v>343</v>
      </c>
      <c r="I48" s="175"/>
      <c r="J48" s="175"/>
      <c r="K48" s="175"/>
      <c r="L48" s="169"/>
      <c r="M48" s="169"/>
      <c r="N48" s="169"/>
      <c r="O48" s="169"/>
      <c r="P48" s="169"/>
      <c r="Q48" s="169"/>
      <c r="R48" s="169"/>
      <c r="S48" s="169"/>
      <c r="T48" s="169"/>
      <c r="U48" s="169"/>
      <c r="V48" s="169"/>
      <c r="W48" s="169"/>
      <c r="X48" s="169"/>
      <c r="Y48" s="169"/>
      <c r="Z48" s="169"/>
    </row>
    <row r="49" spans="1:26" ht="15.75" customHeight="1">
      <c r="A49" s="170">
        <v>49</v>
      </c>
      <c r="B49" s="171" t="s">
        <v>405</v>
      </c>
      <c r="C49" s="172" t="s">
        <v>342</v>
      </c>
      <c r="D49" s="170">
        <v>2000</v>
      </c>
      <c r="E49" s="170">
        <v>1000</v>
      </c>
      <c r="F49" s="170">
        <f t="shared" si="0"/>
        <v>3000</v>
      </c>
      <c r="G49" s="173">
        <f t="shared" si="1"/>
        <v>3180</v>
      </c>
      <c r="H49" s="172" t="s">
        <v>343</v>
      </c>
      <c r="I49" s="175"/>
      <c r="J49" s="175"/>
      <c r="K49" s="175"/>
      <c r="L49" s="169"/>
      <c r="M49" s="169"/>
      <c r="N49" s="169"/>
      <c r="O49" s="169"/>
      <c r="P49" s="169"/>
      <c r="Q49" s="169"/>
      <c r="R49" s="169"/>
      <c r="S49" s="169"/>
      <c r="T49" s="169"/>
      <c r="U49" s="169"/>
      <c r="V49" s="169"/>
      <c r="W49" s="169"/>
      <c r="X49" s="169"/>
      <c r="Y49" s="169"/>
      <c r="Z49" s="169"/>
    </row>
    <row r="50" spans="1:26" ht="15.75" customHeight="1">
      <c r="A50" s="170">
        <v>50</v>
      </c>
      <c r="B50" s="171" t="s">
        <v>406</v>
      </c>
      <c r="C50" s="172" t="s">
        <v>342</v>
      </c>
      <c r="D50" s="170">
        <v>2000</v>
      </c>
      <c r="E50" s="170">
        <v>1000</v>
      </c>
      <c r="F50" s="170">
        <f t="shared" si="0"/>
        <v>3000</v>
      </c>
      <c r="G50" s="173">
        <f t="shared" si="1"/>
        <v>3180</v>
      </c>
      <c r="H50" s="172" t="s">
        <v>343</v>
      </c>
      <c r="I50" s="175"/>
      <c r="J50" s="175"/>
      <c r="K50" s="175"/>
      <c r="L50" s="169"/>
      <c r="M50" s="169"/>
      <c r="N50" s="169"/>
      <c r="O50" s="169"/>
      <c r="P50" s="169"/>
      <c r="Q50" s="169"/>
      <c r="R50" s="169"/>
      <c r="S50" s="169"/>
      <c r="T50" s="169"/>
      <c r="U50" s="169"/>
      <c r="V50" s="169"/>
      <c r="W50" s="169"/>
      <c r="X50" s="169"/>
      <c r="Y50" s="169"/>
      <c r="Z50" s="169"/>
    </row>
    <row r="51" spans="1:26" ht="15.75" customHeight="1">
      <c r="A51" s="170">
        <v>51</v>
      </c>
      <c r="B51" s="171" t="s">
        <v>407</v>
      </c>
      <c r="C51" s="172" t="s">
        <v>342</v>
      </c>
      <c r="D51" s="170">
        <v>2000</v>
      </c>
      <c r="E51" s="170">
        <v>1000</v>
      </c>
      <c r="F51" s="170">
        <f t="shared" si="0"/>
        <v>3000</v>
      </c>
      <c r="G51" s="173">
        <f t="shared" si="1"/>
        <v>3180</v>
      </c>
      <c r="H51" s="172" t="s">
        <v>343</v>
      </c>
      <c r="I51" s="175"/>
      <c r="J51" s="175"/>
      <c r="K51" s="175"/>
      <c r="L51" s="169"/>
      <c r="M51" s="169"/>
      <c r="N51" s="169"/>
      <c r="O51" s="169"/>
      <c r="P51" s="169"/>
      <c r="Q51" s="169"/>
      <c r="R51" s="169"/>
      <c r="S51" s="169"/>
      <c r="T51" s="169"/>
      <c r="U51" s="169"/>
      <c r="V51" s="169"/>
      <c r="W51" s="169"/>
      <c r="X51" s="169"/>
      <c r="Y51" s="169"/>
      <c r="Z51" s="169"/>
    </row>
    <row r="52" spans="1:26" ht="15.75" customHeight="1">
      <c r="A52" s="170">
        <v>52</v>
      </c>
      <c r="B52" s="171" t="s">
        <v>408</v>
      </c>
      <c r="C52" s="172" t="s">
        <v>342</v>
      </c>
      <c r="D52" s="170">
        <v>2000</v>
      </c>
      <c r="E52" s="170">
        <v>1000</v>
      </c>
      <c r="F52" s="170">
        <f t="shared" si="0"/>
        <v>3000</v>
      </c>
      <c r="G52" s="173">
        <f t="shared" si="1"/>
        <v>3180</v>
      </c>
      <c r="H52" s="172" t="s">
        <v>343</v>
      </c>
      <c r="I52" s="175"/>
      <c r="J52" s="175"/>
      <c r="K52" s="175"/>
      <c r="L52" s="169"/>
      <c r="M52" s="169"/>
      <c r="N52" s="169"/>
      <c r="O52" s="169"/>
      <c r="P52" s="169"/>
      <c r="Q52" s="169"/>
      <c r="R52" s="169"/>
      <c r="S52" s="169"/>
      <c r="T52" s="169"/>
      <c r="U52" s="169"/>
      <c r="V52" s="169"/>
      <c r="W52" s="169"/>
      <c r="X52" s="169"/>
      <c r="Y52" s="169"/>
      <c r="Z52" s="169"/>
    </row>
    <row r="53" spans="1:26" ht="15.75" customHeight="1">
      <c r="A53" s="170">
        <v>53</v>
      </c>
      <c r="B53" s="171" t="s">
        <v>409</v>
      </c>
      <c r="C53" s="172" t="s">
        <v>342</v>
      </c>
      <c r="D53" s="170">
        <v>2000</v>
      </c>
      <c r="E53" s="170">
        <v>1000</v>
      </c>
      <c r="F53" s="170">
        <f t="shared" si="0"/>
        <v>3000</v>
      </c>
      <c r="G53" s="173">
        <f t="shared" si="1"/>
        <v>3180</v>
      </c>
      <c r="H53" s="172" t="s">
        <v>343</v>
      </c>
      <c r="I53" s="175"/>
      <c r="J53" s="175"/>
      <c r="K53" s="175"/>
      <c r="L53" s="169"/>
      <c r="M53" s="169"/>
      <c r="N53" s="169"/>
      <c r="O53" s="169"/>
      <c r="P53" s="169"/>
      <c r="Q53" s="169"/>
      <c r="R53" s="169"/>
      <c r="S53" s="169"/>
      <c r="T53" s="169"/>
      <c r="U53" s="169"/>
      <c r="V53" s="169"/>
      <c r="W53" s="169"/>
      <c r="X53" s="169"/>
      <c r="Y53" s="169"/>
      <c r="Z53" s="169"/>
    </row>
    <row r="54" spans="1:26" ht="15.75" customHeight="1">
      <c r="A54" s="170">
        <v>54</v>
      </c>
      <c r="B54" s="171" t="s">
        <v>410</v>
      </c>
      <c r="C54" s="172" t="s">
        <v>342</v>
      </c>
      <c r="D54" s="170">
        <v>2000</v>
      </c>
      <c r="E54" s="170">
        <v>1000</v>
      </c>
      <c r="F54" s="170">
        <f t="shared" si="0"/>
        <v>3000</v>
      </c>
      <c r="G54" s="173">
        <f t="shared" si="1"/>
        <v>3180</v>
      </c>
      <c r="H54" s="172" t="s">
        <v>343</v>
      </c>
      <c r="I54" s="175"/>
      <c r="J54" s="175"/>
      <c r="K54" s="175"/>
      <c r="L54" s="169"/>
      <c r="M54" s="169"/>
      <c r="N54" s="169"/>
      <c r="O54" s="169"/>
      <c r="P54" s="169"/>
      <c r="Q54" s="169"/>
      <c r="R54" s="169"/>
      <c r="S54" s="169"/>
      <c r="T54" s="169"/>
      <c r="U54" s="169"/>
      <c r="V54" s="169"/>
      <c r="W54" s="169"/>
      <c r="X54" s="169"/>
      <c r="Y54" s="169"/>
      <c r="Z54" s="169"/>
    </row>
    <row r="55" spans="1:26" ht="15.75" customHeight="1">
      <c r="A55" s="170">
        <v>55</v>
      </c>
      <c r="B55" s="171" t="s">
        <v>411</v>
      </c>
      <c r="C55" s="172" t="s">
        <v>342</v>
      </c>
      <c r="D55" s="170">
        <v>2000</v>
      </c>
      <c r="E55" s="170">
        <v>1000</v>
      </c>
      <c r="F55" s="170">
        <f t="shared" si="0"/>
        <v>3000</v>
      </c>
      <c r="G55" s="173">
        <f t="shared" si="1"/>
        <v>3180</v>
      </c>
      <c r="H55" s="172" t="s">
        <v>343</v>
      </c>
      <c r="I55" s="175"/>
      <c r="J55" s="175"/>
      <c r="K55" s="177" t="s">
        <v>412</v>
      </c>
      <c r="L55" s="169"/>
      <c r="M55" s="169"/>
      <c r="N55" s="169"/>
      <c r="O55" s="169"/>
      <c r="P55" s="169"/>
      <c r="Q55" s="169"/>
      <c r="R55" s="169"/>
      <c r="S55" s="169"/>
      <c r="T55" s="169"/>
      <c r="U55" s="169"/>
      <c r="V55" s="169"/>
      <c r="W55" s="169"/>
      <c r="X55" s="169"/>
      <c r="Y55" s="169"/>
      <c r="Z55" s="169"/>
    </row>
    <row r="56" spans="1:26" ht="15.75" customHeight="1">
      <c r="A56" s="170">
        <v>56</v>
      </c>
      <c r="B56" s="171" t="s">
        <v>413</v>
      </c>
      <c r="C56" s="172" t="s">
        <v>342</v>
      </c>
      <c r="D56" s="170">
        <v>1500</v>
      </c>
      <c r="E56" s="170">
        <v>1000</v>
      </c>
      <c r="F56" s="170">
        <f t="shared" si="0"/>
        <v>2500</v>
      </c>
      <c r="G56" s="173">
        <f t="shared" si="1"/>
        <v>2680</v>
      </c>
      <c r="H56" s="172" t="s">
        <v>343</v>
      </c>
      <c r="I56" s="175"/>
      <c r="J56" s="175"/>
      <c r="K56" s="177" t="s">
        <v>414</v>
      </c>
      <c r="L56" s="169"/>
      <c r="M56" s="169"/>
      <c r="N56" s="169"/>
      <c r="O56" s="169"/>
      <c r="P56" s="169"/>
      <c r="Q56" s="169"/>
      <c r="R56" s="169"/>
      <c r="S56" s="169"/>
      <c r="T56" s="169"/>
      <c r="U56" s="169"/>
      <c r="V56" s="169"/>
      <c r="W56" s="169"/>
      <c r="X56" s="169"/>
      <c r="Y56" s="169"/>
      <c r="Z56" s="169"/>
    </row>
    <row r="57" spans="1:26" ht="15.75" customHeight="1">
      <c r="A57" s="170">
        <v>57</v>
      </c>
      <c r="B57" s="171" t="s">
        <v>415</v>
      </c>
      <c r="C57" s="172" t="s">
        <v>342</v>
      </c>
      <c r="D57" s="170">
        <v>2000</v>
      </c>
      <c r="E57" s="170">
        <v>1000</v>
      </c>
      <c r="F57" s="170">
        <f t="shared" si="0"/>
        <v>3000</v>
      </c>
      <c r="G57" s="173">
        <f t="shared" si="1"/>
        <v>3180</v>
      </c>
      <c r="H57" s="172" t="s">
        <v>343</v>
      </c>
      <c r="I57" s="175"/>
      <c r="J57" s="175"/>
      <c r="K57" s="177" t="s">
        <v>416</v>
      </c>
      <c r="L57" s="169"/>
      <c r="M57" s="169"/>
      <c r="N57" s="169"/>
      <c r="O57" s="169"/>
      <c r="P57" s="169"/>
      <c r="Q57" s="169"/>
      <c r="R57" s="169"/>
      <c r="S57" s="169"/>
      <c r="T57" s="169"/>
      <c r="U57" s="169"/>
      <c r="V57" s="169"/>
      <c r="W57" s="169"/>
      <c r="X57" s="169"/>
      <c r="Y57" s="169"/>
      <c r="Z57" s="169"/>
    </row>
    <row r="58" spans="1:26" ht="15.75" customHeight="1">
      <c r="A58" s="170">
        <v>58</v>
      </c>
      <c r="B58" s="171" t="s">
        <v>417</v>
      </c>
      <c r="C58" s="172" t="s">
        <v>342</v>
      </c>
      <c r="D58" s="170">
        <v>2000</v>
      </c>
      <c r="E58" s="170">
        <v>1000</v>
      </c>
      <c r="F58" s="170">
        <f t="shared" si="0"/>
        <v>3000</v>
      </c>
      <c r="G58" s="173">
        <f t="shared" si="1"/>
        <v>3180</v>
      </c>
      <c r="H58" s="172" t="s">
        <v>343</v>
      </c>
      <c r="I58" s="175"/>
      <c r="J58" s="175"/>
      <c r="K58" s="175"/>
      <c r="L58" s="169"/>
      <c r="M58" s="169"/>
      <c r="N58" s="169"/>
      <c r="O58" s="169"/>
      <c r="P58" s="169"/>
      <c r="Q58" s="169"/>
      <c r="R58" s="169"/>
      <c r="S58" s="169"/>
      <c r="T58" s="169"/>
      <c r="U58" s="169"/>
      <c r="V58" s="169"/>
      <c r="W58" s="169"/>
      <c r="X58" s="169"/>
      <c r="Y58" s="169"/>
      <c r="Z58" s="169"/>
    </row>
    <row r="59" spans="1:26" ht="15.75" customHeight="1">
      <c r="A59" s="170">
        <v>59</v>
      </c>
      <c r="B59" s="171" t="s">
        <v>418</v>
      </c>
      <c r="C59" s="172" t="s">
        <v>342</v>
      </c>
      <c r="D59" s="170">
        <v>1500</v>
      </c>
      <c r="E59" s="170">
        <v>1000</v>
      </c>
      <c r="F59" s="170">
        <f t="shared" si="0"/>
        <v>2500</v>
      </c>
      <c r="G59" s="173">
        <f t="shared" si="1"/>
        <v>2680</v>
      </c>
      <c r="H59" s="172" t="s">
        <v>343</v>
      </c>
      <c r="I59" s="175"/>
      <c r="J59" s="175"/>
      <c r="K59" s="175"/>
      <c r="L59" s="169"/>
      <c r="M59" s="169"/>
      <c r="N59" s="169"/>
      <c r="O59" s="169"/>
      <c r="P59" s="169"/>
      <c r="Q59" s="169"/>
      <c r="R59" s="169"/>
      <c r="S59" s="169"/>
      <c r="T59" s="169"/>
      <c r="U59" s="169"/>
      <c r="V59" s="169"/>
      <c r="W59" s="169"/>
      <c r="X59" s="169"/>
      <c r="Y59" s="169"/>
      <c r="Z59" s="169"/>
    </row>
    <row r="60" spans="1:26" ht="15.75" customHeight="1">
      <c r="A60" s="170">
        <v>60</v>
      </c>
      <c r="B60" s="171" t="s">
        <v>419</v>
      </c>
      <c r="C60" s="172" t="s">
        <v>342</v>
      </c>
      <c r="D60" s="170">
        <v>1500</v>
      </c>
      <c r="E60" s="170">
        <v>1000</v>
      </c>
      <c r="F60" s="170">
        <f t="shared" si="0"/>
        <v>2500</v>
      </c>
      <c r="G60" s="173">
        <f t="shared" si="1"/>
        <v>2680</v>
      </c>
      <c r="H60" s="172" t="s">
        <v>343</v>
      </c>
      <c r="I60" s="175"/>
      <c r="J60" s="175"/>
      <c r="K60" s="175"/>
      <c r="L60" s="169"/>
      <c r="M60" s="169"/>
      <c r="N60" s="169"/>
      <c r="O60" s="169"/>
      <c r="P60" s="169"/>
      <c r="Q60" s="169"/>
      <c r="R60" s="169"/>
      <c r="S60" s="169"/>
      <c r="T60" s="169"/>
      <c r="U60" s="169"/>
      <c r="V60" s="169"/>
      <c r="W60" s="169"/>
      <c r="X60" s="169"/>
      <c r="Y60" s="169"/>
      <c r="Z60" s="169"/>
    </row>
    <row r="61" spans="1:26" ht="15.75" customHeight="1">
      <c r="A61" s="170">
        <v>61</v>
      </c>
      <c r="B61" s="171" t="s">
        <v>420</v>
      </c>
      <c r="C61" s="172" t="s">
        <v>342</v>
      </c>
      <c r="D61" s="170">
        <v>2000</v>
      </c>
      <c r="E61" s="170">
        <v>1000</v>
      </c>
      <c r="F61" s="170">
        <f t="shared" si="0"/>
        <v>3000</v>
      </c>
      <c r="G61" s="173">
        <f t="shared" si="1"/>
        <v>3180</v>
      </c>
      <c r="H61" s="172" t="s">
        <v>343</v>
      </c>
      <c r="I61" s="175"/>
      <c r="J61" s="175"/>
      <c r="K61" s="175"/>
      <c r="L61" s="169"/>
      <c r="M61" s="169"/>
      <c r="N61" s="169"/>
      <c r="O61" s="169"/>
      <c r="P61" s="169"/>
      <c r="Q61" s="169"/>
      <c r="R61" s="169"/>
      <c r="S61" s="169"/>
      <c r="T61" s="169"/>
      <c r="U61" s="169"/>
      <c r="V61" s="169"/>
      <c r="W61" s="169"/>
      <c r="X61" s="169"/>
      <c r="Y61" s="169"/>
      <c r="Z61" s="169"/>
    </row>
    <row r="62" spans="1:26" ht="15.75" customHeight="1">
      <c r="A62" s="170">
        <v>62</v>
      </c>
      <c r="B62" s="171" t="s">
        <v>421</v>
      </c>
      <c r="C62" s="172" t="s">
        <v>342</v>
      </c>
      <c r="D62" s="170">
        <v>2000</v>
      </c>
      <c r="E62" s="170">
        <v>1000</v>
      </c>
      <c r="F62" s="170">
        <f t="shared" si="0"/>
        <v>3000</v>
      </c>
      <c r="G62" s="173">
        <f t="shared" si="1"/>
        <v>3180</v>
      </c>
      <c r="H62" s="172" t="s">
        <v>343</v>
      </c>
      <c r="I62" s="175"/>
      <c r="J62" s="175"/>
      <c r="K62" s="175"/>
      <c r="L62" s="169"/>
      <c r="M62" s="169"/>
      <c r="N62" s="169"/>
      <c r="O62" s="169"/>
      <c r="P62" s="169"/>
      <c r="Q62" s="169"/>
      <c r="R62" s="169"/>
      <c r="S62" s="169"/>
      <c r="T62" s="169"/>
      <c r="U62" s="169"/>
      <c r="V62" s="169"/>
      <c r="W62" s="169"/>
      <c r="X62" s="169"/>
      <c r="Y62" s="169"/>
      <c r="Z62" s="169"/>
    </row>
    <row r="63" spans="1:26" ht="15.75" customHeight="1">
      <c r="A63" s="170">
        <v>63</v>
      </c>
      <c r="B63" s="171" t="s">
        <v>422</v>
      </c>
      <c r="C63" s="172" t="s">
        <v>342</v>
      </c>
      <c r="D63" s="170">
        <v>2000</v>
      </c>
      <c r="E63" s="170">
        <v>1000</v>
      </c>
      <c r="F63" s="170">
        <f t="shared" si="0"/>
        <v>3000</v>
      </c>
      <c r="G63" s="173">
        <f t="shared" si="1"/>
        <v>3180</v>
      </c>
      <c r="H63" s="172" t="s">
        <v>343</v>
      </c>
      <c r="I63" s="175"/>
      <c r="J63" s="175"/>
      <c r="K63" s="175"/>
      <c r="L63" s="169"/>
      <c r="M63" s="169"/>
      <c r="N63" s="169"/>
      <c r="O63" s="169"/>
      <c r="P63" s="169"/>
      <c r="Q63" s="169"/>
      <c r="R63" s="169"/>
      <c r="S63" s="169"/>
      <c r="T63" s="169"/>
      <c r="U63" s="169"/>
      <c r="V63" s="169"/>
      <c r="W63" s="169"/>
      <c r="X63" s="169"/>
      <c r="Y63" s="169"/>
      <c r="Z63" s="169"/>
    </row>
    <row r="64" spans="1:26" ht="15.75" customHeight="1">
      <c r="A64" s="170">
        <v>64</v>
      </c>
      <c r="B64" s="176" t="s">
        <v>423</v>
      </c>
      <c r="C64" s="172" t="s">
        <v>342</v>
      </c>
      <c r="D64" s="170">
        <v>1500</v>
      </c>
      <c r="E64" s="170">
        <v>1000</v>
      </c>
      <c r="F64" s="170">
        <f t="shared" si="0"/>
        <v>2500</v>
      </c>
      <c r="G64" s="173">
        <f t="shared" si="1"/>
        <v>2680</v>
      </c>
      <c r="H64" s="172" t="s">
        <v>343</v>
      </c>
      <c r="I64" s="175"/>
      <c r="J64" s="175"/>
      <c r="K64" s="175"/>
      <c r="L64" s="169"/>
      <c r="M64" s="169"/>
      <c r="N64" s="169"/>
      <c r="O64" s="169"/>
      <c r="P64" s="169"/>
      <c r="Q64" s="169"/>
      <c r="R64" s="169"/>
      <c r="S64" s="169"/>
      <c r="T64" s="169"/>
      <c r="U64" s="169"/>
      <c r="V64" s="169"/>
      <c r="W64" s="169"/>
      <c r="X64" s="169"/>
      <c r="Y64" s="169"/>
      <c r="Z64" s="169"/>
    </row>
    <row r="65" spans="1:26" ht="15.75" customHeight="1">
      <c r="A65" s="181">
        <v>65</v>
      </c>
      <c r="B65" s="182" t="s">
        <v>424</v>
      </c>
      <c r="C65" s="183" t="s">
        <v>342</v>
      </c>
      <c r="D65" s="181">
        <v>1500</v>
      </c>
      <c r="E65" s="181">
        <v>1000</v>
      </c>
      <c r="F65" s="181">
        <f t="shared" si="0"/>
        <v>2500</v>
      </c>
      <c r="G65" s="184">
        <f t="shared" si="1"/>
        <v>2680</v>
      </c>
      <c r="H65" s="183" t="s">
        <v>343</v>
      </c>
      <c r="I65" s="169"/>
      <c r="J65" s="169"/>
      <c r="K65" s="169"/>
      <c r="L65" s="169"/>
      <c r="M65" s="169"/>
      <c r="N65" s="169"/>
      <c r="O65" s="169"/>
      <c r="P65" s="169"/>
      <c r="Q65" s="169"/>
      <c r="R65" s="169"/>
      <c r="S65" s="169"/>
      <c r="T65" s="169"/>
      <c r="U65" s="169"/>
      <c r="V65" s="169"/>
      <c r="W65" s="169"/>
      <c r="X65" s="169"/>
      <c r="Y65" s="169"/>
      <c r="Z65" s="169"/>
    </row>
    <row r="66" spans="1:26" ht="15.75" customHeight="1">
      <c r="A66" s="169"/>
      <c r="B66" s="169"/>
      <c r="C66" s="169"/>
      <c r="D66" s="169"/>
      <c r="E66" s="169"/>
      <c r="F66" s="169"/>
      <c r="G66" s="169"/>
      <c r="H66" s="169"/>
      <c r="I66" s="169"/>
      <c r="J66" s="169"/>
      <c r="K66" s="169"/>
      <c r="L66" s="169"/>
      <c r="M66" s="169"/>
      <c r="N66" s="169"/>
      <c r="O66" s="169"/>
      <c r="P66" s="169"/>
      <c r="Q66" s="169"/>
      <c r="R66" s="169"/>
      <c r="S66" s="169"/>
      <c r="T66" s="169"/>
      <c r="U66" s="169"/>
      <c r="V66" s="169"/>
      <c r="W66" s="169"/>
      <c r="X66" s="169"/>
      <c r="Y66" s="169"/>
      <c r="Z66" s="169"/>
    </row>
    <row r="67" spans="1:26" ht="15.75" customHeight="1">
      <c r="A67" s="169"/>
      <c r="B67" s="169"/>
      <c r="C67" s="169"/>
      <c r="D67" s="169"/>
      <c r="E67" s="169"/>
      <c r="F67" s="169"/>
      <c r="G67" s="169"/>
      <c r="H67" s="169"/>
      <c r="I67" s="169"/>
      <c r="J67" s="169"/>
      <c r="K67" s="169"/>
      <c r="L67" s="169"/>
      <c r="M67" s="169"/>
      <c r="N67" s="169"/>
      <c r="O67" s="169"/>
      <c r="P67" s="169"/>
      <c r="Q67" s="169"/>
      <c r="R67" s="169"/>
      <c r="S67" s="169"/>
      <c r="T67" s="169"/>
      <c r="U67" s="169"/>
      <c r="V67" s="169"/>
      <c r="W67" s="169"/>
      <c r="X67" s="169"/>
      <c r="Y67" s="169"/>
      <c r="Z67" s="169"/>
    </row>
    <row r="68" spans="1:26" ht="15.75" customHeight="1">
      <c r="A68" s="169"/>
      <c r="B68" s="169"/>
      <c r="C68" s="169"/>
      <c r="D68" s="169"/>
      <c r="E68" s="169"/>
      <c r="F68" s="169"/>
      <c r="G68" s="169"/>
      <c r="H68" s="169"/>
      <c r="I68" s="169"/>
      <c r="J68" s="169"/>
      <c r="K68" s="169"/>
      <c r="L68" s="169"/>
      <c r="M68" s="169"/>
      <c r="N68" s="169"/>
      <c r="O68" s="169"/>
      <c r="P68" s="169"/>
      <c r="Q68" s="169"/>
      <c r="R68" s="169"/>
      <c r="S68" s="169"/>
      <c r="T68" s="169"/>
      <c r="U68" s="169"/>
      <c r="V68" s="169"/>
      <c r="W68" s="169"/>
      <c r="X68" s="169"/>
      <c r="Y68" s="169"/>
      <c r="Z68" s="169"/>
    </row>
    <row r="69" spans="1:26" ht="15.75" customHeight="1">
      <c r="A69" s="165"/>
      <c r="B69" s="166" t="s">
        <v>425</v>
      </c>
      <c r="C69" s="2" t="s">
        <v>3</v>
      </c>
      <c r="D69" s="3" t="s">
        <v>4</v>
      </c>
      <c r="E69" s="167" t="s">
        <v>210</v>
      </c>
      <c r="F69" s="3" t="s">
        <v>211</v>
      </c>
      <c r="G69" s="2" t="s">
        <v>212</v>
      </c>
      <c r="H69" s="2" t="s">
        <v>5</v>
      </c>
      <c r="I69" s="185" t="s">
        <v>426</v>
      </c>
      <c r="J69" s="169"/>
      <c r="K69" s="169"/>
      <c r="L69" s="169"/>
      <c r="M69" s="169"/>
      <c r="N69" s="169"/>
      <c r="O69" s="169"/>
      <c r="P69" s="169"/>
      <c r="Q69" s="169"/>
      <c r="R69" s="169"/>
      <c r="S69" s="169"/>
      <c r="T69" s="169"/>
      <c r="U69" s="169"/>
      <c r="V69" s="169"/>
      <c r="W69" s="169"/>
      <c r="X69" s="169"/>
      <c r="Y69" s="169"/>
      <c r="Z69" s="169"/>
    </row>
    <row r="70" spans="1:26" ht="15.75" customHeight="1">
      <c r="A70" s="170">
        <v>1</v>
      </c>
      <c r="B70" s="171" t="s">
        <v>341</v>
      </c>
      <c r="C70" s="172" t="s">
        <v>342</v>
      </c>
      <c r="D70" s="170">
        <v>1500</v>
      </c>
      <c r="E70" s="170">
        <v>1000</v>
      </c>
      <c r="F70" s="170">
        <f t="shared" ref="F70:F75" si="2">SUM(D70:E70)</f>
        <v>2500</v>
      </c>
      <c r="G70" s="173">
        <f t="shared" ref="G70:G75" si="3">(18/100)*E70+(D70+E70)</f>
        <v>2680</v>
      </c>
      <c r="H70" s="172" t="s">
        <v>343</v>
      </c>
      <c r="I70" s="185" t="s">
        <v>427</v>
      </c>
      <c r="J70" s="169"/>
      <c r="K70" s="169"/>
      <c r="L70" s="169"/>
      <c r="M70" s="169"/>
      <c r="N70" s="169"/>
      <c r="O70" s="169"/>
      <c r="P70" s="169"/>
      <c r="Q70" s="169"/>
      <c r="R70" s="169"/>
      <c r="S70" s="169"/>
      <c r="T70" s="169"/>
      <c r="U70" s="169"/>
      <c r="V70" s="169"/>
      <c r="W70" s="169"/>
      <c r="X70" s="169"/>
      <c r="Y70" s="169"/>
      <c r="Z70" s="169"/>
    </row>
    <row r="71" spans="1:26" ht="15.75" customHeight="1">
      <c r="A71" s="170">
        <v>2</v>
      </c>
      <c r="B71" s="171" t="s">
        <v>345</v>
      </c>
      <c r="C71" s="172" t="s">
        <v>342</v>
      </c>
      <c r="D71" s="170">
        <v>2000</v>
      </c>
      <c r="E71" s="170">
        <v>1000</v>
      </c>
      <c r="F71" s="170">
        <f t="shared" si="2"/>
        <v>3000</v>
      </c>
      <c r="G71" s="173">
        <f t="shared" si="3"/>
        <v>3180</v>
      </c>
      <c r="H71" s="172" t="s">
        <v>343</v>
      </c>
      <c r="I71" s="186" t="s">
        <v>428</v>
      </c>
      <c r="J71" s="169"/>
      <c r="K71" s="169"/>
      <c r="L71" s="169"/>
      <c r="M71" s="169"/>
      <c r="N71" s="169"/>
      <c r="O71" s="169"/>
      <c r="P71" s="169"/>
      <c r="Q71" s="169"/>
      <c r="R71" s="169"/>
      <c r="S71" s="169"/>
      <c r="T71" s="169"/>
      <c r="U71" s="169"/>
      <c r="V71" s="169"/>
      <c r="W71" s="169"/>
      <c r="X71" s="169"/>
      <c r="Y71" s="169"/>
      <c r="Z71" s="169"/>
    </row>
    <row r="72" spans="1:26" ht="15.75" customHeight="1">
      <c r="A72" s="170">
        <v>3</v>
      </c>
      <c r="B72" s="171" t="s">
        <v>347</v>
      </c>
      <c r="C72" s="172" t="s">
        <v>342</v>
      </c>
      <c r="D72" s="170">
        <v>2500</v>
      </c>
      <c r="E72" s="170">
        <v>1000</v>
      </c>
      <c r="F72" s="170">
        <f t="shared" si="2"/>
        <v>3500</v>
      </c>
      <c r="G72" s="173">
        <f t="shared" si="3"/>
        <v>3680</v>
      </c>
      <c r="H72" s="172" t="s">
        <v>343</v>
      </c>
      <c r="I72" s="186" t="s">
        <v>429</v>
      </c>
      <c r="K72" s="169"/>
      <c r="L72" s="169"/>
      <c r="M72" s="169"/>
      <c r="N72" s="169"/>
      <c r="O72" s="169"/>
      <c r="P72" s="169"/>
      <c r="Q72" s="169"/>
      <c r="R72" s="169"/>
      <c r="S72" s="169"/>
      <c r="T72" s="169"/>
      <c r="U72" s="169"/>
      <c r="V72" s="169"/>
      <c r="W72" s="169"/>
      <c r="X72" s="169"/>
      <c r="Y72" s="169"/>
      <c r="Z72" s="169"/>
    </row>
    <row r="73" spans="1:26" ht="15.75" customHeight="1">
      <c r="A73" s="170">
        <v>4</v>
      </c>
      <c r="B73" s="171" t="s">
        <v>348</v>
      </c>
      <c r="C73" s="172" t="s">
        <v>342</v>
      </c>
      <c r="D73" s="170">
        <v>6000</v>
      </c>
      <c r="E73" s="170">
        <v>2000</v>
      </c>
      <c r="F73" s="170">
        <f t="shared" si="2"/>
        <v>8000</v>
      </c>
      <c r="G73" s="173">
        <f t="shared" si="3"/>
        <v>8360</v>
      </c>
      <c r="H73" s="172" t="s">
        <v>343</v>
      </c>
      <c r="I73" s="186" t="s">
        <v>430</v>
      </c>
      <c r="J73" s="187" t="s">
        <v>431</v>
      </c>
      <c r="K73" s="169"/>
      <c r="L73" s="169"/>
      <c r="M73" s="169"/>
      <c r="N73" s="169"/>
      <c r="O73" s="169"/>
      <c r="P73" s="169"/>
      <c r="Q73" s="169"/>
      <c r="R73" s="169"/>
      <c r="S73" s="169"/>
      <c r="T73" s="169"/>
      <c r="U73" s="169"/>
      <c r="V73" s="169"/>
      <c r="W73" s="169"/>
      <c r="X73" s="169"/>
      <c r="Y73" s="169"/>
      <c r="Z73" s="169"/>
    </row>
    <row r="74" spans="1:26" ht="15.75" customHeight="1">
      <c r="A74" s="170">
        <v>5</v>
      </c>
      <c r="B74" s="171" t="s">
        <v>350</v>
      </c>
      <c r="C74" s="172" t="s">
        <v>342</v>
      </c>
      <c r="D74" s="170">
        <v>8000</v>
      </c>
      <c r="E74" s="170">
        <v>2000</v>
      </c>
      <c r="F74" s="170">
        <f t="shared" si="2"/>
        <v>10000</v>
      </c>
      <c r="G74" s="173">
        <f t="shared" si="3"/>
        <v>10360</v>
      </c>
      <c r="H74" s="172" t="s">
        <v>343</v>
      </c>
      <c r="I74" s="186" t="s">
        <v>432</v>
      </c>
      <c r="J74" s="187" t="s">
        <v>433</v>
      </c>
      <c r="K74" s="169"/>
      <c r="L74" s="169"/>
      <c r="M74" s="169"/>
      <c r="N74" s="169"/>
      <c r="O74" s="169"/>
      <c r="P74" s="169"/>
      <c r="Q74" s="169"/>
      <c r="R74" s="169"/>
      <c r="S74" s="169"/>
      <c r="T74" s="169"/>
      <c r="U74" s="169"/>
      <c r="V74" s="169"/>
      <c r="W74" s="169"/>
      <c r="X74" s="169"/>
      <c r="Y74" s="169"/>
      <c r="Z74" s="169"/>
    </row>
    <row r="75" spans="1:26" ht="15.75" customHeight="1">
      <c r="A75" s="170">
        <v>6</v>
      </c>
      <c r="B75" s="171" t="s">
        <v>353</v>
      </c>
      <c r="C75" s="172" t="s">
        <v>342</v>
      </c>
      <c r="D75" s="170">
        <v>16000</v>
      </c>
      <c r="E75" s="170">
        <v>2000</v>
      </c>
      <c r="F75" s="170">
        <f t="shared" si="2"/>
        <v>18000</v>
      </c>
      <c r="G75" s="173">
        <f t="shared" si="3"/>
        <v>18360</v>
      </c>
      <c r="H75" s="172" t="s">
        <v>343</v>
      </c>
      <c r="I75" s="22" t="s">
        <v>434</v>
      </c>
      <c r="K75" s="169"/>
      <c r="L75" s="169"/>
      <c r="M75" s="169"/>
      <c r="N75" s="169"/>
      <c r="O75" s="169"/>
      <c r="P75" s="169"/>
      <c r="Q75" s="169"/>
      <c r="R75" s="169"/>
      <c r="S75" s="169"/>
      <c r="T75" s="169"/>
      <c r="U75" s="169"/>
      <c r="V75" s="169"/>
      <c r="W75" s="169"/>
      <c r="X75" s="169"/>
      <c r="Y75" s="169"/>
      <c r="Z75" s="169"/>
    </row>
    <row r="76" spans="1:26" ht="15.75" customHeight="1">
      <c r="A76" s="169"/>
      <c r="B76" s="169"/>
      <c r="C76" s="169"/>
      <c r="D76" s="169"/>
      <c r="E76" s="169"/>
      <c r="F76" s="169"/>
      <c r="G76" s="169"/>
      <c r="H76" s="169"/>
      <c r="I76" s="186"/>
      <c r="J76" s="169"/>
      <c r="K76" s="169"/>
      <c r="L76" s="169"/>
      <c r="M76" s="169"/>
      <c r="N76" s="169"/>
      <c r="O76" s="169"/>
      <c r="P76" s="169"/>
      <c r="Q76" s="169"/>
      <c r="R76" s="169"/>
      <c r="S76" s="169"/>
      <c r="T76" s="169"/>
      <c r="U76" s="169"/>
      <c r="V76" s="169"/>
      <c r="W76" s="169"/>
      <c r="X76" s="169"/>
      <c r="Y76" s="169"/>
      <c r="Z76" s="169"/>
    </row>
    <row r="77" spans="1:26" ht="15.75" customHeight="1">
      <c r="A77" s="169"/>
      <c r="B77" s="169"/>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row>
    <row r="78" spans="1:26" ht="15.75" customHeight="1">
      <c r="A78" s="165"/>
      <c r="B78" s="166" t="s">
        <v>435</v>
      </c>
      <c r="C78" s="2" t="s">
        <v>3</v>
      </c>
      <c r="D78" s="3" t="s">
        <v>4</v>
      </c>
      <c r="E78" s="167" t="s">
        <v>210</v>
      </c>
      <c r="F78" s="3" t="s">
        <v>211</v>
      </c>
      <c r="G78" s="2" t="s">
        <v>212</v>
      </c>
      <c r="H78" s="2" t="s">
        <v>5</v>
      </c>
      <c r="I78" s="185" t="s">
        <v>436</v>
      </c>
      <c r="J78" s="186" t="s">
        <v>437</v>
      </c>
      <c r="K78" s="169"/>
      <c r="L78" s="169"/>
      <c r="M78" s="169"/>
      <c r="N78" s="169"/>
      <c r="O78" s="169"/>
      <c r="P78" s="169"/>
      <c r="Q78" s="169"/>
      <c r="R78" s="169"/>
      <c r="S78" s="169"/>
      <c r="T78" s="169"/>
      <c r="U78" s="169"/>
      <c r="V78" s="169"/>
      <c r="W78" s="169"/>
      <c r="X78" s="169"/>
      <c r="Y78" s="169"/>
      <c r="Z78" s="169"/>
    </row>
    <row r="79" spans="1:26" ht="15.75" customHeight="1">
      <c r="A79" s="170">
        <v>1</v>
      </c>
      <c r="B79" s="171" t="s">
        <v>341</v>
      </c>
      <c r="C79" s="172" t="s">
        <v>342</v>
      </c>
      <c r="D79" s="170">
        <v>3000</v>
      </c>
      <c r="E79" s="170">
        <v>1000</v>
      </c>
      <c r="F79" s="170">
        <f t="shared" ref="F79:F84" si="4">SUM(D79:E79)</f>
        <v>4000</v>
      </c>
      <c r="G79" s="173">
        <f t="shared" ref="G79:G84" si="5">(18/100)*E79+(D79+E79)</f>
        <v>4180</v>
      </c>
      <c r="H79" s="172" t="s">
        <v>343</v>
      </c>
      <c r="I79" s="185" t="s">
        <v>427</v>
      </c>
      <c r="J79" s="169"/>
      <c r="K79" s="169"/>
      <c r="L79" s="169"/>
      <c r="M79" s="169"/>
      <c r="N79" s="169"/>
      <c r="O79" s="169"/>
      <c r="P79" s="169"/>
      <c r="Q79" s="169"/>
      <c r="R79" s="169"/>
      <c r="S79" s="169"/>
      <c r="T79" s="169"/>
      <c r="U79" s="169"/>
      <c r="V79" s="169"/>
      <c r="W79" s="169"/>
      <c r="X79" s="169"/>
      <c r="Y79" s="169"/>
      <c r="Z79" s="169"/>
    </row>
    <row r="80" spans="1:26" ht="15.75" customHeight="1">
      <c r="A80" s="170">
        <v>2</v>
      </c>
      <c r="B80" s="171" t="s">
        <v>345</v>
      </c>
      <c r="C80" s="172" t="s">
        <v>342</v>
      </c>
      <c r="D80" s="170">
        <v>4000</v>
      </c>
      <c r="E80" s="170">
        <v>1000</v>
      </c>
      <c r="F80" s="170">
        <f t="shared" si="4"/>
        <v>5000</v>
      </c>
      <c r="G80" s="173">
        <f t="shared" si="5"/>
        <v>5180</v>
      </c>
      <c r="H80" s="172" t="s">
        <v>343</v>
      </c>
      <c r="I80" s="186" t="s">
        <v>438</v>
      </c>
      <c r="J80" s="187" t="s">
        <v>439</v>
      </c>
      <c r="K80" s="169"/>
      <c r="L80" s="169"/>
      <c r="M80" s="169"/>
      <c r="N80" s="169"/>
      <c r="O80" s="169"/>
      <c r="P80" s="169"/>
      <c r="Q80" s="169"/>
      <c r="R80" s="169"/>
      <c r="S80" s="169"/>
      <c r="T80" s="169"/>
      <c r="U80" s="169"/>
      <c r="V80" s="169"/>
      <c r="W80" s="169"/>
      <c r="X80" s="169"/>
      <c r="Y80" s="169"/>
      <c r="Z80" s="169"/>
    </row>
    <row r="81" spans="1:26" ht="15.75" customHeight="1">
      <c r="A81" s="170">
        <v>3</v>
      </c>
      <c r="B81" s="171" t="s">
        <v>347</v>
      </c>
      <c r="C81" s="172" t="s">
        <v>342</v>
      </c>
      <c r="D81" s="170">
        <v>5000</v>
      </c>
      <c r="E81" s="170">
        <v>1000</v>
      </c>
      <c r="F81" s="170">
        <f t="shared" si="4"/>
        <v>6000</v>
      </c>
      <c r="G81" s="173">
        <f t="shared" si="5"/>
        <v>6180</v>
      </c>
      <c r="H81" s="172" t="s">
        <v>343</v>
      </c>
      <c r="I81" s="169"/>
      <c r="J81" s="169"/>
      <c r="K81" s="169"/>
      <c r="L81" s="169"/>
      <c r="M81" s="169"/>
      <c r="N81" s="169"/>
      <c r="O81" s="169"/>
      <c r="P81" s="169"/>
      <c r="Q81" s="169"/>
      <c r="R81" s="169"/>
      <c r="S81" s="169"/>
      <c r="T81" s="169"/>
      <c r="U81" s="169"/>
      <c r="V81" s="169"/>
      <c r="W81" s="169"/>
      <c r="X81" s="169"/>
      <c r="Y81" s="169"/>
      <c r="Z81" s="169"/>
    </row>
    <row r="82" spans="1:26" ht="15.75" customHeight="1">
      <c r="A82" s="170">
        <v>4</v>
      </c>
      <c r="B82" s="171" t="s">
        <v>348</v>
      </c>
      <c r="C82" s="172" t="s">
        <v>342</v>
      </c>
      <c r="D82" s="170">
        <v>5500</v>
      </c>
      <c r="E82" s="170">
        <v>2000</v>
      </c>
      <c r="F82" s="170">
        <f t="shared" si="4"/>
        <v>7500</v>
      </c>
      <c r="G82" s="173">
        <f t="shared" si="5"/>
        <v>7860</v>
      </c>
      <c r="H82" s="172" t="s">
        <v>343</v>
      </c>
      <c r="I82" s="169"/>
      <c r="J82" s="169"/>
      <c r="K82" s="169"/>
      <c r="L82" s="169"/>
      <c r="M82" s="169"/>
      <c r="N82" s="169"/>
      <c r="O82" s="169"/>
      <c r="P82" s="169"/>
      <c r="Q82" s="169"/>
      <c r="R82" s="169"/>
      <c r="S82" s="169"/>
      <c r="T82" s="169"/>
      <c r="U82" s="169"/>
      <c r="V82" s="169"/>
      <c r="W82" s="169"/>
      <c r="X82" s="169"/>
      <c r="Y82" s="169"/>
      <c r="Z82" s="169"/>
    </row>
    <row r="83" spans="1:26" ht="15.75" customHeight="1">
      <c r="A83" s="170">
        <v>5</v>
      </c>
      <c r="B83" s="171" t="s">
        <v>350</v>
      </c>
      <c r="C83" s="172" t="s">
        <v>342</v>
      </c>
      <c r="D83" s="170">
        <v>9000</v>
      </c>
      <c r="E83" s="170">
        <v>2000</v>
      </c>
      <c r="F83" s="170">
        <f t="shared" si="4"/>
        <v>11000</v>
      </c>
      <c r="G83" s="173">
        <f t="shared" si="5"/>
        <v>11360</v>
      </c>
      <c r="H83" s="172" t="s">
        <v>343</v>
      </c>
      <c r="I83" s="186" t="s">
        <v>440</v>
      </c>
      <c r="J83" s="169"/>
      <c r="K83" s="169"/>
      <c r="L83" s="169"/>
      <c r="M83" s="169"/>
      <c r="N83" s="169"/>
      <c r="O83" s="169"/>
      <c r="P83" s="169"/>
      <c r="Q83" s="169"/>
      <c r="R83" s="169"/>
      <c r="S83" s="169"/>
      <c r="T83" s="169"/>
      <c r="U83" s="169"/>
      <c r="V83" s="169"/>
      <c r="W83" s="169"/>
      <c r="X83" s="169"/>
      <c r="Y83" s="169"/>
      <c r="Z83" s="169"/>
    </row>
    <row r="84" spans="1:26" ht="15.75" customHeight="1">
      <c r="A84" s="170">
        <v>6</v>
      </c>
      <c r="B84" s="171" t="s">
        <v>353</v>
      </c>
      <c r="C84" s="172" t="s">
        <v>342</v>
      </c>
      <c r="D84" s="170">
        <v>20000</v>
      </c>
      <c r="E84" s="170">
        <v>2000</v>
      </c>
      <c r="F84" s="170">
        <f t="shared" si="4"/>
        <v>22000</v>
      </c>
      <c r="G84" s="173">
        <f t="shared" si="5"/>
        <v>22360</v>
      </c>
      <c r="H84" s="172" t="s">
        <v>343</v>
      </c>
      <c r="I84" s="188" t="s">
        <v>441</v>
      </c>
      <c r="J84" s="169"/>
      <c r="K84" s="169"/>
      <c r="L84" s="169"/>
      <c r="M84" s="169"/>
      <c r="N84" s="169"/>
      <c r="O84" s="169"/>
      <c r="P84" s="169"/>
      <c r="Q84" s="169"/>
      <c r="R84" s="169"/>
      <c r="S84" s="169"/>
      <c r="T84" s="169"/>
      <c r="U84" s="169"/>
      <c r="V84" s="169"/>
      <c r="W84" s="169"/>
      <c r="X84" s="169"/>
      <c r="Y84" s="169"/>
      <c r="Z84" s="169"/>
    </row>
    <row r="85" spans="1:26" ht="15.75" customHeight="1">
      <c r="A85" s="169"/>
      <c r="B85" s="169"/>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row>
    <row r="86" spans="1:26" ht="15.75" customHeight="1">
      <c r="A86" s="169"/>
      <c r="B86" s="169"/>
      <c r="C86" s="169"/>
      <c r="D86" s="169"/>
      <c r="E86" s="169"/>
      <c r="F86" s="169"/>
      <c r="H86" s="169"/>
      <c r="I86" s="169"/>
      <c r="J86" s="169"/>
      <c r="K86" s="169"/>
      <c r="L86" s="169"/>
      <c r="M86" s="169"/>
      <c r="N86" s="169"/>
      <c r="O86" s="169"/>
      <c r="P86" s="169"/>
      <c r="Q86" s="169"/>
      <c r="R86" s="169"/>
      <c r="S86" s="169"/>
      <c r="T86" s="169"/>
      <c r="U86" s="169"/>
      <c r="V86" s="169"/>
      <c r="W86" s="169"/>
      <c r="X86" s="169"/>
      <c r="Y86" s="169"/>
      <c r="Z86" s="169"/>
    </row>
    <row r="87" spans="1:26" ht="15.75" customHeight="1">
      <c r="A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row>
    <row r="88" spans="1:26" ht="15.75" customHeight="1">
      <c r="A88" s="169"/>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row>
    <row r="89" spans="1:26" ht="15.75" customHeight="1">
      <c r="A89" s="169"/>
      <c r="B89" s="169"/>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row>
    <row r="90" spans="1:26" ht="15.75" customHeight="1">
      <c r="A90" s="169"/>
      <c r="B90" s="169"/>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row>
    <row r="91" spans="1:26" ht="15.75" customHeight="1">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row>
    <row r="92" spans="1:26" ht="15.75" customHeight="1">
      <c r="A92" s="169"/>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row>
    <row r="93" spans="1:26" ht="15.75" customHeight="1">
      <c r="A93" s="169"/>
      <c r="B93" s="169"/>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row>
    <row r="94" spans="1:26" ht="15.75" customHeight="1">
      <c r="A94" s="169"/>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row>
    <row r="95" spans="1:26" ht="15.75" customHeight="1">
      <c r="A95" s="169"/>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row>
    <row r="96" spans="1:26" ht="15.75" customHeight="1">
      <c r="A96" s="169"/>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row>
    <row r="97" spans="1:26" ht="15.75" customHeight="1">
      <c r="A97" s="169"/>
      <c r="B97" s="169"/>
      <c r="C97" s="169"/>
      <c r="D97" s="169"/>
      <c r="E97" s="169"/>
      <c r="F97" s="169"/>
      <c r="G97" s="169"/>
      <c r="H97" s="169"/>
      <c r="I97" s="169"/>
      <c r="J97" s="169"/>
      <c r="K97" s="169"/>
      <c r="L97" s="169"/>
      <c r="M97" s="169"/>
      <c r="N97" s="169"/>
      <c r="O97" s="169"/>
      <c r="P97" s="169"/>
      <c r="Q97" s="169"/>
      <c r="R97" s="169"/>
      <c r="S97" s="169"/>
      <c r="T97" s="169"/>
      <c r="U97" s="169"/>
      <c r="V97" s="169"/>
      <c r="W97" s="169"/>
      <c r="X97" s="169"/>
      <c r="Y97" s="169"/>
      <c r="Z97" s="169"/>
    </row>
    <row r="98" spans="1:26" ht="15.75" customHeight="1">
      <c r="A98" s="169"/>
      <c r="B98" s="169"/>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row>
    <row r="99" spans="1:26" ht="15.75" customHeight="1">
      <c r="A99" s="169"/>
      <c r="B99" s="169"/>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row>
    <row r="100" spans="1:26" ht="15.75" customHeight="1">
      <c r="A100" s="169"/>
      <c r="B100" s="169"/>
      <c r="C100" s="169"/>
      <c r="D100" s="169"/>
      <c r="E100" s="169"/>
      <c r="F100" s="169"/>
      <c r="G100" s="169"/>
      <c r="H100" s="169"/>
      <c r="I100" s="169"/>
      <c r="J100" s="169"/>
      <c r="K100" s="169"/>
      <c r="L100" s="169"/>
      <c r="M100" s="169"/>
      <c r="N100" s="169"/>
      <c r="O100" s="169"/>
      <c r="P100" s="169"/>
      <c r="Q100" s="169"/>
      <c r="R100" s="169"/>
      <c r="S100" s="169"/>
      <c r="T100" s="169"/>
      <c r="U100" s="169"/>
      <c r="V100" s="169"/>
      <c r="W100" s="169"/>
      <c r="X100" s="169"/>
      <c r="Y100" s="169"/>
      <c r="Z100" s="169"/>
    </row>
    <row r="101" spans="1:26" ht="15.75" customHeight="1">
      <c r="A101" s="169"/>
      <c r="B101" s="169"/>
      <c r="C101" s="169"/>
      <c r="D101" s="169"/>
      <c r="E101" s="169"/>
      <c r="F101" s="169"/>
      <c r="G101" s="169"/>
      <c r="H101" s="169"/>
      <c r="I101" s="169"/>
      <c r="J101" s="169"/>
      <c r="K101" s="169"/>
      <c r="L101" s="169"/>
      <c r="M101" s="169"/>
      <c r="N101" s="169"/>
      <c r="O101" s="169"/>
      <c r="P101" s="169"/>
      <c r="Q101" s="169"/>
      <c r="R101" s="169"/>
      <c r="S101" s="169"/>
      <c r="T101" s="169"/>
      <c r="U101" s="169"/>
      <c r="V101" s="169"/>
      <c r="W101" s="169"/>
      <c r="X101" s="169"/>
      <c r="Y101" s="169"/>
      <c r="Z101" s="169"/>
    </row>
    <row r="102" spans="1:26" ht="15.75" customHeight="1">
      <c r="A102" s="169"/>
      <c r="B102" s="169"/>
      <c r="C102" s="169"/>
      <c r="D102" s="169"/>
      <c r="E102" s="169"/>
      <c r="F102" s="169"/>
      <c r="G102" s="169"/>
      <c r="H102" s="169"/>
      <c r="I102" s="169"/>
      <c r="J102" s="169"/>
      <c r="K102" s="169"/>
      <c r="L102" s="169"/>
      <c r="M102" s="169"/>
      <c r="N102" s="169"/>
      <c r="O102" s="169"/>
      <c r="P102" s="169"/>
      <c r="Q102" s="169"/>
      <c r="R102" s="169"/>
      <c r="S102" s="169"/>
      <c r="T102" s="169"/>
      <c r="U102" s="169"/>
      <c r="V102" s="169"/>
      <c r="W102" s="169"/>
      <c r="X102" s="169"/>
      <c r="Y102" s="169"/>
      <c r="Z102" s="169"/>
    </row>
    <row r="103" spans="1:26" ht="15.75" customHeight="1">
      <c r="A103" s="169"/>
      <c r="B103" s="169"/>
      <c r="C103" s="169"/>
      <c r="D103" s="169"/>
      <c r="E103" s="169"/>
      <c r="F103" s="169"/>
      <c r="G103" s="169"/>
      <c r="H103" s="169"/>
      <c r="I103" s="169"/>
      <c r="J103" s="169"/>
      <c r="K103" s="169"/>
      <c r="L103" s="169"/>
      <c r="M103" s="169"/>
      <c r="N103" s="169"/>
      <c r="O103" s="169"/>
      <c r="P103" s="169"/>
      <c r="Q103" s="169"/>
      <c r="R103" s="169"/>
      <c r="S103" s="169"/>
      <c r="T103" s="169"/>
      <c r="U103" s="169"/>
      <c r="V103" s="169"/>
      <c r="W103" s="169"/>
      <c r="X103" s="169"/>
      <c r="Y103" s="169"/>
      <c r="Z103" s="169"/>
    </row>
    <row r="104" spans="1:26" ht="15.75" customHeight="1">
      <c r="A104" s="169"/>
      <c r="B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row>
    <row r="105" spans="1:26" ht="15.75" customHeight="1">
      <c r="A105" s="169"/>
      <c r="B105" s="169"/>
      <c r="C105" s="169"/>
      <c r="D105" s="169"/>
      <c r="E105" s="169"/>
      <c r="F105" s="169"/>
      <c r="G105" s="169"/>
      <c r="H105" s="169"/>
      <c r="I105" s="169"/>
      <c r="J105" s="169"/>
      <c r="K105" s="169"/>
      <c r="L105" s="169"/>
      <c r="M105" s="169"/>
      <c r="N105" s="169"/>
      <c r="O105" s="169"/>
      <c r="P105" s="169"/>
      <c r="Q105" s="169"/>
      <c r="R105" s="169"/>
      <c r="S105" s="169"/>
      <c r="T105" s="169"/>
      <c r="U105" s="169"/>
      <c r="V105" s="169"/>
      <c r="W105" s="169"/>
      <c r="X105" s="169"/>
      <c r="Y105" s="169"/>
      <c r="Z105" s="169"/>
    </row>
    <row r="106" spans="1:26" ht="15.75" customHeight="1">
      <c r="A106" s="169"/>
      <c r="B106" s="169"/>
      <c r="C106" s="169"/>
      <c r="D106" s="169"/>
      <c r="E106" s="169"/>
      <c r="F106" s="169"/>
      <c r="G106" s="169"/>
      <c r="H106" s="169"/>
      <c r="I106" s="169"/>
      <c r="J106" s="169"/>
      <c r="K106" s="169"/>
      <c r="L106" s="169"/>
      <c r="M106" s="169"/>
      <c r="N106" s="169"/>
      <c r="O106" s="169"/>
      <c r="P106" s="169"/>
      <c r="Q106" s="169"/>
      <c r="R106" s="169"/>
      <c r="S106" s="169"/>
      <c r="T106" s="169"/>
      <c r="U106" s="169"/>
      <c r="V106" s="169"/>
      <c r="W106" s="169"/>
      <c r="X106" s="169"/>
      <c r="Y106" s="169"/>
      <c r="Z106" s="169"/>
    </row>
    <row r="107" spans="1:26" ht="15.75" customHeight="1">
      <c r="A107" s="169"/>
      <c r="B107" s="169"/>
      <c r="C107" s="169"/>
      <c r="D107" s="169"/>
      <c r="E107" s="169"/>
      <c r="F107" s="169"/>
      <c r="G107" s="169"/>
      <c r="H107" s="169"/>
      <c r="I107" s="169"/>
      <c r="J107" s="169"/>
      <c r="K107" s="169"/>
      <c r="L107" s="169"/>
      <c r="M107" s="169"/>
      <c r="N107" s="169"/>
      <c r="O107" s="169"/>
      <c r="P107" s="169"/>
      <c r="Q107" s="169"/>
      <c r="R107" s="169"/>
      <c r="S107" s="169"/>
      <c r="T107" s="169"/>
      <c r="U107" s="169"/>
      <c r="V107" s="169"/>
      <c r="W107" s="169"/>
      <c r="X107" s="169"/>
      <c r="Y107" s="169"/>
      <c r="Z107" s="169"/>
    </row>
    <row r="108" spans="1:26" ht="15.75" customHeight="1">
      <c r="A108" s="169"/>
      <c r="B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row>
    <row r="109" spans="1:26" ht="15.75" customHeight="1">
      <c r="A109" s="169"/>
      <c r="B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row>
    <row r="110" spans="1:26" ht="15.75" customHeight="1">
      <c r="A110" s="169"/>
      <c r="B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row>
    <row r="111" spans="1:26" ht="15.75" customHeight="1">
      <c r="A111" s="169"/>
      <c r="B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row>
    <row r="112" spans="1:26" ht="15.75" customHeight="1">
      <c r="A112" s="169"/>
      <c r="B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row>
    <row r="113" spans="1:26" ht="15.75" customHeight="1">
      <c r="A113" s="169"/>
      <c r="B113" s="169"/>
      <c r="C113" s="169"/>
      <c r="D113" s="169"/>
      <c r="E113" s="169"/>
      <c r="F113" s="169"/>
      <c r="G113" s="169"/>
      <c r="H113" s="169"/>
      <c r="I113" s="169"/>
      <c r="J113" s="169"/>
      <c r="K113" s="169"/>
      <c r="L113" s="169"/>
      <c r="M113" s="169"/>
      <c r="N113" s="169"/>
      <c r="O113" s="169"/>
      <c r="P113" s="169"/>
      <c r="Q113" s="169"/>
      <c r="R113" s="169"/>
      <c r="S113" s="169"/>
      <c r="T113" s="169"/>
      <c r="U113" s="169"/>
      <c r="V113" s="169"/>
      <c r="W113" s="169"/>
      <c r="X113" s="169"/>
      <c r="Y113" s="169"/>
      <c r="Z113" s="169"/>
    </row>
    <row r="114" spans="1:26" ht="15.75" customHeight="1">
      <c r="A114" s="169"/>
      <c r="B114" s="169"/>
      <c r="C114" s="169"/>
      <c r="D114" s="169"/>
      <c r="E114" s="169"/>
      <c r="F114" s="169"/>
      <c r="G114" s="169"/>
      <c r="H114" s="169"/>
      <c r="I114" s="169"/>
      <c r="J114" s="169"/>
      <c r="K114" s="169"/>
      <c r="L114" s="169"/>
      <c r="M114" s="169"/>
      <c r="N114" s="169"/>
      <c r="O114" s="169"/>
      <c r="P114" s="169"/>
      <c r="Q114" s="169"/>
      <c r="R114" s="169"/>
      <c r="S114" s="169"/>
      <c r="T114" s="169"/>
      <c r="U114" s="169"/>
      <c r="V114" s="169"/>
      <c r="W114" s="169"/>
      <c r="X114" s="169"/>
      <c r="Y114" s="169"/>
      <c r="Z114" s="169"/>
    </row>
    <row r="115" spans="1:26" ht="15.75" customHeight="1">
      <c r="A115" s="169"/>
      <c r="B115" s="169"/>
      <c r="C115" s="169"/>
      <c r="D115" s="169"/>
      <c r="E115" s="169"/>
      <c r="F115" s="169"/>
      <c r="G115" s="169"/>
      <c r="H115" s="169"/>
      <c r="I115" s="169"/>
      <c r="J115" s="169"/>
      <c r="K115" s="169"/>
      <c r="L115" s="169"/>
      <c r="M115" s="169"/>
      <c r="N115" s="169"/>
      <c r="O115" s="169"/>
      <c r="P115" s="169"/>
      <c r="Q115" s="169"/>
      <c r="R115" s="169"/>
      <c r="S115" s="169"/>
      <c r="T115" s="169"/>
      <c r="U115" s="169"/>
      <c r="V115" s="169"/>
      <c r="W115" s="169"/>
      <c r="X115" s="169"/>
      <c r="Y115" s="169"/>
      <c r="Z115" s="169"/>
    </row>
    <row r="116" spans="1:26" ht="15.75" customHeight="1">
      <c r="A116" s="169"/>
      <c r="B116" s="169"/>
      <c r="C116" s="169"/>
      <c r="D116" s="1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row>
    <row r="117" spans="1:26" ht="15.75" customHeight="1">
      <c r="A117" s="169"/>
      <c r="B117" s="169"/>
      <c r="C117" s="169"/>
      <c r="D117" s="169"/>
      <c r="E117" s="169"/>
      <c r="F117" s="169"/>
      <c r="G117" s="169"/>
      <c r="H117" s="169"/>
      <c r="I117" s="169"/>
      <c r="J117" s="169"/>
      <c r="K117" s="169"/>
      <c r="L117" s="169"/>
      <c r="M117" s="169"/>
      <c r="N117" s="169"/>
      <c r="O117" s="169"/>
      <c r="P117" s="169"/>
      <c r="Q117" s="169"/>
      <c r="R117" s="169"/>
      <c r="S117" s="169"/>
      <c r="T117" s="169"/>
      <c r="U117" s="169"/>
      <c r="V117" s="169"/>
      <c r="W117" s="169"/>
      <c r="X117" s="169"/>
      <c r="Y117" s="169"/>
      <c r="Z117" s="169"/>
    </row>
    <row r="118" spans="1:26" ht="15.75" customHeight="1">
      <c r="A118" s="169"/>
      <c r="B118" s="169"/>
      <c r="C118" s="169"/>
      <c r="D118" s="16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row>
    <row r="119" spans="1:26" ht="15.75" customHeight="1">
      <c r="A119" s="169"/>
      <c r="B119" s="169"/>
      <c r="C119" s="169"/>
      <c r="D119" s="169"/>
      <c r="E119" s="169"/>
      <c r="F119" s="169"/>
      <c r="G119" s="169"/>
      <c r="H119" s="169"/>
      <c r="I119" s="169"/>
      <c r="J119" s="169"/>
      <c r="K119" s="169"/>
      <c r="L119" s="169"/>
      <c r="M119" s="169"/>
      <c r="N119" s="169"/>
      <c r="O119" s="169"/>
      <c r="P119" s="169"/>
      <c r="Q119" s="169"/>
      <c r="R119" s="169"/>
      <c r="S119" s="169"/>
      <c r="T119" s="169"/>
      <c r="U119" s="169"/>
      <c r="V119" s="169"/>
      <c r="W119" s="169"/>
      <c r="X119" s="169"/>
      <c r="Y119" s="169"/>
      <c r="Z119" s="169"/>
    </row>
    <row r="120" spans="1:26" ht="15.75" customHeight="1">
      <c r="A120" s="169"/>
      <c r="B120" s="169"/>
      <c r="C120" s="169"/>
      <c r="D120" s="16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row>
    <row r="121" spans="1:26" ht="15.75" customHeight="1">
      <c r="A121" s="169"/>
      <c r="B121" s="169"/>
      <c r="C121" s="169"/>
      <c r="D121" s="169"/>
      <c r="E121" s="169"/>
      <c r="F121" s="169"/>
      <c r="G121" s="169"/>
      <c r="H121" s="169"/>
      <c r="I121" s="169"/>
      <c r="J121" s="169"/>
      <c r="K121" s="169"/>
      <c r="L121" s="169"/>
      <c r="M121" s="169"/>
      <c r="N121" s="169"/>
      <c r="O121" s="169"/>
      <c r="P121" s="169"/>
      <c r="Q121" s="169"/>
      <c r="R121" s="169"/>
      <c r="S121" s="169"/>
      <c r="T121" s="169"/>
      <c r="U121" s="169"/>
      <c r="V121" s="169"/>
      <c r="W121" s="169"/>
      <c r="X121" s="169"/>
      <c r="Y121" s="169"/>
      <c r="Z121" s="169"/>
    </row>
    <row r="122" spans="1:26" ht="15.75" customHeight="1">
      <c r="A122" s="169"/>
      <c r="B122" s="169"/>
      <c r="C122" s="169"/>
      <c r="D122" s="16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row>
    <row r="123" spans="1:26" ht="15.75" customHeight="1">
      <c r="A123" s="169"/>
      <c r="B123" s="169"/>
      <c r="C123" s="169"/>
      <c r="D123" s="169"/>
      <c r="E123" s="169"/>
      <c r="F123" s="169"/>
      <c r="G123" s="169"/>
      <c r="H123" s="169"/>
      <c r="I123" s="169"/>
      <c r="J123" s="169"/>
      <c r="K123" s="169"/>
      <c r="L123" s="169"/>
      <c r="M123" s="169"/>
      <c r="N123" s="169"/>
      <c r="O123" s="169"/>
      <c r="P123" s="169"/>
      <c r="Q123" s="169"/>
      <c r="R123" s="169"/>
      <c r="S123" s="169"/>
      <c r="T123" s="169"/>
      <c r="U123" s="169"/>
      <c r="V123" s="169"/>
      <c r="W123" s="169"/>
      <c r="X123" s="169"/>
      <c r="Y123" s="169"/>
      <c r="Z123" s="169"/>
    </row>
    <row r="124" spans="1:26" ht="15.75" customHeight="1">
      <c r="A124" s="169"/>
      <c r="B124" s="169"/>
      <c r="C124" s="169"/>
      <c r="D124" s="16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row>
    <row r="125" spans="1:26" ht="15.75" customHeight="1">
      <c r="A125" s="169"/>
      <c r="B125" s="169"/>
      <c r="C125" s="169"/>
      <c r="D125" s="169"/>
      <c r="E125" s="169"/>
      <c r="F125" s="169"/>
      <c r="G125" s="169"/>
      <c r="H125" s="169"/>
      <c r="I125" s="169"/>
      <c r="J125" s="169"/>
      <c r="K125" s="169"/>
      <c r="L125" s="169"/>
      <c r="M125" s="169"/>
      <c r="N125" s="169"/>
      <c r="O125" s="169"/>
      <c r="P125" s="169"/>
      <c r="Q125" s="169"/>
      <c r="R125" s="169"/>
      <c r="S125" s="169"/>
      <c r="T125" s="169"/>
      <c r="U125" s="169"/>
      <c r="V125" s="169"/>
      <c r="W125" s="169"/>
      <c r="X125" s="169"/>
      <c r="Y125" s="169"/>
      <c r="Z125" s="169"/>
    </row>
    <row r="126" spans="1:26" ht="15.75" customHeight="1">
      <c r="A126" s="169"/>
      <c r="B126" s="169"/>
      <c r="C126" s="169"/>
      <c r="D126" s="16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row>
    <row r="127" spans="1:26" ht="15.75" customHeight="1">
      <c r="A127" s="169"/>
      <c r="B127" s="169"/>
      <c r="C127" s="169"/>
      <c r="D127" s="169"/>
      <c r="E127" s="169"/>
      <c r="F127" s="169"/>
      <c r="G127" s="169"/>
      <c r="H127" s="169"/>
      <c r="I127" s="169"/>
      <c r="J127" s="169"/>
      <c r="K127" s="169"/>
      <c r="L127" s="169"/>
      <c r="M127" s="169"/>
      <c r="N127" s="169"/>
      <c r="O127" s="169"/>
      <c r="P127" s="169"/>
      <c r="Q127" s="169"/>
      <c r="R127" s="169"/>
      <c r="S127" s="169"/>
      <c r="T127" s="169"/>
      <c r="U127" s="169"/>
      <c r="V127" s="169"/>
      <c r="W127" s="169"/>
      <c r="X127" s="169"/>
      <c r="Y127" s="169"/>
      <c r="Z127" s="169"/>
    </row>
    <row r="128" spans="1:26" ht="15.75" customHeight="1">
      <c r="A128" s="169"/>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row>
    <row r="129" spans="1:26" ht="15.75" customHeight="1">
      <c r="A129" s="169"/>
      <c r="B129" s="169"/>
      <c r="C129" s="169"/>
      <c r="D129" s="169"/>
      <c r="E129" s="169"/>
      <c r="F129" s="169"/>
      <c r="G129" s="169"/>
      <c r="H129" s="169"/>
      <c r="I129" s="169"/>
      <c r="J129" s="169"/>
      <c r="K129" s="169"/>
      <c r="L129" s="169"/>
      <c r="M129" s="169"/>
      <c r="N129" s="169"/>
      <c r="O129" s="169"/>
      <c r="P129" s="169"/>
      <c r="Q129" s="169"/>
      <c r="R129" s="169"/>
      <c r="S129" s="169"/>
      <c r="T129" s="169"/>
      <c r="U129" s="169"/>
      <c r="V129" s="169"/>
      <c r="W129" s="169"/>
      <c r="X129" s="169"/>
      <c r="Y129" s="169"/>
      <c r="Z129" s="169"/>
    </row>
    <row r="130" spans="1:26" ht="15.75" customHeight="1">
      <c r="A130" s="169"/>
      <c r="B130" s="169"/>
      <c r="C130" s="169"/>
      <c r="D130" s="16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row>
    <row r="131" spans="1:26" ht="15.75" customHeight="1">
      <c r="A131" s="169"/>
      <c r="B131" s="169"/>
      <c r="C131" s="169"/>
      <c r="D131" s="169"/>
      <c r="E131" s="169"/>
      <c r="F131" s="169"/>
      <c r="G131" s="169"/>
      <c r="H131" s="169"/>
      <c r="I131" s="169"/>
      <c r="J131" s="169"/>
      <c r="K131" s="169"/>
      <c r="L131" s="169"/>
      <c r="M131" s="169"/>
      <c r="N131" s="169"/>
      <c r="O131" s="169"/>
      <c r="P131" s="169"/>
      <c r="Q131" s="169"/>
      <c r="R131" s="169"/>
      <c r="S131" s="169"/>
      <c r="T131" s="169"/>
      <c r="U131" s="169"/>
      <c r="V131" s="169"/>
      <c r="W131" s="169"/>
      <c r="X131" s="169"/>
      <c r="Y131" s="169"/>
      <c r="Z131" s="169"/>
    </row>
    <row r="132" spans="1:26" ht="15.75" customHeight="1">
      <c r="A132" s="169"/>
      <c r="B132" s="169"/>
      <c r="C132" s="169"/>
      <c r="D132" s="16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row>
    <row r="133" spans="1:26" ht="15.75" customHeight="1">
      <c r="A133" s="169"/>
      <c r="B133" s="169"/>
      <c r="C133" s="169"/>
      <c r="D133" s="169"/>
      <c r="E133" s="169"/>
      <c r="F133" s="169"/>
      <c r="G133" s="169"/>
      <c r="H133" s="169"/>
      <c r="I133" s="169"/>
      <c r="J133" s="169"/>
      <c r="K133" s="169"/>
      <c r="L133" s="169"/>
      <c r="M133" s="169"/>
      <c r="N133" s="169"/>
      <c r="O133" s="169"/>
      <c r="P133" s="169"/>
      <c r="Q133" s="169"/>
      <c r="R133" s="169"/>
      <c r="S133" s="169"/>
      <c r="T133" s="169"/>
      <c r="U133" s="169"/>
      <c r="V133" s="169"/>
      <c r="W133" s="169"/>
      <c r="X133" s="169"/>
      <c r="Y133" s="169"/>
      <c r="Z133" s="169"/>
    </row>
    <row r="134" spans="1:26" ht="15.75" customHeight="1">
      <c r="A134" s="169"/>
      <c r="B134" s="169"/>
      <c r="C134" s="169"/>
      <c r="D134" s="16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row>
    <row r="135" spans="1:26" ht="15.75" customHeight="1">
      <c r="A135" s="169"/>
      <c r="B135" s="169"/>
      <c r="C135" s="169"/>
      <c r="D135" s="169"/>
      <c r="E135" s="169"/>
      <c r="F135" s="169"/>
      <c r="G135" s="169"/>
      <c r="H135" s="169"/>
      <c r="I135" s="169"/>
      <c r="J135" s="169"/>
      <c r="K135" s="169"/>
      <c r="L135" s="169"/>
      <c r="M135" s="169"/>
      <c r="N135" s="169"/>
      <c r="O135" s="169"/>
      <c r="P135" s="169"/>
      <c r="Q135" s="169"/>
      <c r="R135" s="169"/>
      <c r="S135" s="169"/>
      <c r="T135" s="169"/>
      <c r="U135" s="169"/>
      <c r="V135" s="169"/>
      <c r="W135" s="169"/>
      <c r="X135" s="169"/>
      <c r="Y135" s="169"/>
      <c r="Z135" s="169"/>
    </row>
    <row r="136" spans="1:26" ht="15.75" customHeight="1">
      <c r="A136" s="169"/>
      <c r="B136" s="169"/>
      <c r="C136" s="16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row>
    <row r="137" spans="1:26" ht="15.75" customHeight="1">
      <c r="A137" s="169"/>
      <c r="B137" s="169"/>
      <c r="C137" s="169"/>
      <c r="D137" s="169"/>
      <c r="E137" s="169"/>
      <c r="F137" s="169"/>
      <c r="G137" s="169"/>
      <c r="H137" s="169"/>
      <c r="I137" s="169"/>
      <c r="J137" s="169"/>
      <c r="K137" s="169"/>
      <c r="L137" s="169"/>
      <c r="M137" s="169"/>
      <c r="N137" s="169"/>
      <c r="O137" s="169"/>
      <c r="P137" s="169"/>
      <c r="Q137" s="169"/>
      <c r="R137" s="169"/>
      <c r="S137" s="169"/>
      <c r="T137" s="169"/>
      <c r="U137" s="169"/>
      <c r="V137" s="169"/>
      <c r="W137" s="169"/>
      <c r="X137" s="169"/>
      <c r="Y137" s="169"/>
      <c r="Z137" s="169"/>
    </row>
    <row r="138" spans="1:26" ht="15.75" customHeight="1">
      <c r="A138" s="169"/>
      <c r="B138" s="169"/>
      <c r="C138" s="16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row>
    <row r="139" spans="1:26" ht="15.75" customHeight="1">
      <c r="A139" s="169"/>
      <c r="B139" s="169"/>
      <c r="C139" s="169"/>
      <c r="D139" s="169"/>
      <c r="E139" s="169"/>
      <c r="F139" s="169"/>
      <c r="G139" s="169"/>
      <c r="H139" s="169"/>
      <c r="I139" s="169"/>
      <c r="J139" s="169"/>
      <c r="K139" s="169"/>
      <c r="L139" s="169"/>
      <c r="M139" s="169"/>
      <c r="N139" s="169"/>
      <c r="O139" s="169"/>
      <c r="P139" s="169"/>
      <c r="Q139" s="169"/>
      <c r="R139" s="169"/>
      <c r="S139" s="169"/>
      <c r="T139" s="169"/>
      <c r="U139" s="169"/>
      <c r="V139" s="169"/>
      <c r="W139" s="169"/>
      <c r="X139" s="169"/>
      <c r="Y139" s="169"/>
      <c r="Z139" s="169"/>
    </row>
    <row r="140" spans="1:26" ht="15.75" customHeight="1">
      <c r="A140" s="169"/>
      <c r="B140" s="169"/>
      <c r="C140" s="16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row>
    <row r="141" spans="1:26" ht="15.75" customHeight="1">
      <c r="A141" s="169"/>
      <c r="B141" s="169"/>
      <c r="C141" s="169"/>
      <c r="D141" s="169"/>
      <c r="E141" s="169"/>
      <c r="F141" s="169"/>
      <c r="G141" s="169"/>
      <c r="H141" s="169"/>
      <c r="I141" s="169"/>
      <c r="J141" s="169"/>
      <c r="K141" s="169"/>
      <c r="L141" s="169"/>
      <c r="M141" s="169"/>
      <c r="N141" s="169"/>
      <c r="O141" s="169"/>
      <c r="P141" s="169"/>
      <c r="Q141" s="169"/>
      <c r="R141" s="169"/>
      <c r="S141" s="169"/>
      <c r="T141" s="169"/>
      <c r="U141" s="169"/>
      <c r="V141" s="169"/>
      <c r="W141" s="169"/>
      <c r="X141" s="169"/>
      <c r="Y141" s="169"/>
      <c r="Z141" s="169"/>
    </row>
    <row r="142" spans="1:26" ht="15.75" customHeight="1">
      <c r="A142" s="169"/>
      <c r="B142" s="169"/>
      <c r="C142" s="16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row>
    <row r="143" spans="1:26" ht="15.75" customHeight="1">
      <c r="A143" s="169"/>
      <c r="B143" s="169"/>
      <c r="C143" s="169"/>
      <c r="D143" s="169"/>
      <c r="E143" s="169"/>
      <c r="F143" s="169"/>
      <c r="G143" s="169"/>
      <c r="H143" s="169"/>
      <c r="I143" s="169"/>
      <c r="J143" s="169"/>
      <c r="K143" s="169"/>
      <c r="L143" s="169"/>
      <c r="M143" s="169"/>
      <c r="N143" s="169"/>
      <c r="O143" s="169"/>
      <c r="P143" s="169"/>
      <c r="Q143" s="169"/>
      <c r="R143" s="169"/>
      <c r="S143" s="169"/>
      <c r="T143" s="169"/>
      <c r="U143" s="169"/>
      <c r="V143" s="169"/>
      <c r="W143" s="169"/>
      <c r="X143" s="169"/>
      <c r="Y143" s="169"/>
      <c r="Z143" s="169"/>
    </row>
    <row r="144" spans="1:26" ht="15.75" customHeight="1">
      <c r="A144" s="169"/>
      <c r="B144" s="169"/>
      <c r="C144" s="16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row>
    <row r="145" spans="1:26" ht="15.75" customHeight="1">
      <c r="A145" s="169"/>
      <c r="B145" s="169"/>
      <c r="C145" s="169"/>
      <c r="D145" s="169"/>
      <c r="E145" s="169"/>
      <c r="F145" s="169"/>
      <c r="G145" s="169"/>
      <c r="H145" s="169"/>
      <c r="I145" s="169"/>
      <c r="J145" s="169"/>
      <c r="K145" s="169"/>
      <c r="L145" s="169"/>
      <c r="M145" s="169"/>
      <c r="N145" s="169"/>
      <c r="O145" s="169"/>
      <c r="P145" s="169"/>
      <c r="Q145" s="169"/>
      <c r="R145" s="169"/>
      <c r="S145" s="169"/>
      <c r="T145" s="169"/>
      <c r="U145" s="169"/>
      <c r="V145" s="169"/>
      <c r="W145" s="169"/>
      <c r="X145" s="169"/>
      <c r="Y145" s="169"/>
      <c r="Z145" s="169"/>
    </row>
    <row r="146" spans="1:26" ht="15.75" customHeight="1">
      <c r="A146" s="169"/>
      <c r="B146" s="169"/>
      <c r="C146" s="16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row>
    <row r="147" spans="1:26" ht="15.75" customHeight="1">
      <c r="A147" s="169"/>
      <c r="B147" s="169"/>
      <c r="C147" s="169"/>
      <c r="D147" s="169"/>
      <c r="E147" s="169"/>
      <c r="F147" s="169"/>
      <c r="G147" s="169"/>
      <c r="H147" s="169"/>
      <c r="I147" s="169"/>
      <c r="J147" s="169"/>
      <c r="K147" s="169"/>
      <c r="L147" s="169"/>
      <c r="M147" s="169"/>
      <c r="N147" s="169"/>
      <c r="O147" s="169"/>
      <c r="P147" s="169"/>
      <c r="Q147" s="169"/>
      <c r="R147" s="169"/>
      <c r="S147" s="169"/>
      <c r="T147" s="169"/>
      <c r="U147" s="169"/>
      <c r="V147" s="169"/>
      <c r="W147" s="169"/>
      <c r="X147" s="169"/>
      <c r="Y147" s="169"/>
      <c r="Z147" s="169"/>
    </row>
    <row r="148" spans="1:26" ht="15.75" customHeight="1">
      <c r="A148" s="169"/>
      <c r="B148" s="169"/>
      <c r="C148" s="16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row>
    <row r="149" spans="1:26" ht="15.75" customHeight="1">
      <c r="A149" s="169"/>
      <c r="B149" s="169"/>
      <c r="C149" s="169"/>
      <c r="D149" s="169"/>
      <c r="E149" s="169"/>
      <c r="F149" s="169"/>
      <c r="G149" s="169"/>
      <c r="H149" s="169"/>
      <c r="I149" s="169"/>
      <c r="J149" s="169"/>
      <c r="K149" s="169"/>
      <c r="L149" s="169"/>
      <c r="M149" s="169"/>
      <c r="N149" s="169"/>
      <c r="O149" s="169"/>
      <c r="P149" s="169"/>
      <c r="Q149" s="169"/>
      <c r="R149" s="169"/>
      <c r="S149" s="169"/>
      <c r="T149" s="169"/>
      <c r="U149" s="169"/>
      <c r="V149" s="169"/>
      <c r="W149" s="169"/>
      <c r="X149" s="169"/>
      <c r="Y149" s="169"/>
      <c r="Z149" s="169"/>
    </row>
    <row r="150" spans="1:26" ht="15.75" customHeight="1">
      <c r="A150" s="169"/>
      <c r="B150" s="169"/>
      <c r="C150" s="16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row>
    <row r="151" spans="1:26" ht="15.75" customHeight="1">
      <c r="A151" s="169"/>
      <c r="B151" s="169"/>
      <c r="C151" s="169"/>
      <c r="D151" s="169"/>
      <c r="E151" s="169"/>
      <c r="F151" s="169"/>
      <c r="G151" s="169"/>
      <c r="H151" s="169"/>
      <c r="I151" s="169"/>
      <c r="J151" s="169"/>
      <c r="K151" s="169"/>
      <c r="L151" s="169"/>
      <c r="M151" s="169"/>
      <c r="N151" s="169"/>
      <c r="O151" s="169"/>
      <c r="P151" s="169"/>
      <c r="Q151" s="169"/>
      <c r="R151" s="169"/>
      <c r="S151" s="169"/>
      <c r="T151" s="169"/>
      <c r="U151" s="169"/>
      <c r="V151" s="169"/>
      <c r="W151" s="169"/>
      <c r="X151" s="169"/>
      <c r="Y151" s="169"/>
      <c r="Z151" s="169"/>
    </row>
    <row r="152" spans="1:26" ht="15.75" customHeight="1">
      <c r="A152" s="169"/>
      <c r="B152" s="169"/>
      <c r="C152" s="16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row>
    <row r="153" spans="1:26" ht="15.75" customHeight="1">
      <c r="A153" s="169"/>
      <c r="B153" s="169"/>
      <c r="C153" s="169"/>
      <c r="D153" s="169"/>
      <c r="E153" s="169"/>
      <c r="F153" s="169"/>
      <c r="G153" s="169"/>
      <c r="H153" s="169"/>
      <c r="I153" s="169"/>
      <c r="J153" s="169"/>
      <c r="K153" s="169"/>
      <c r="L153" s="169"/>
      <c r="M153" s="169"/>
      <c r="N153" s="169"/>
      <c r="O153" s="169"/>
      <c r="P153" s="169"/>
      <c r="Q153" s="169"/>
      <c r="R153" s="169"/>
      <c r="S153" s="169"/>
      <c r="T153" s="169"/>
      <c r="U153" s="169"/>
      <c r="V153" s="169"/>
      <c r="W153" s="169"/>
      <c r="X153" s="169"/>
      <c r="Y153" s="169"/>
      <c r="Z153" s="169"/>
    </row>
    <row r="154" spans="1:26" ht="15.75" customHeight="1">
      <c r="A154" s="169"/>
      <c r="B154" s="169"/>
      <c r="C154" s="16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row>
    <row r="155" spans="1:26" ht="15.75" customHeight="1">
      <c r="A155" s="169"/>
      <c r="B155" s="169"/>
      <c r="C155" s="169"/>
      <c r="D155" s="169"/>
      <c r="E155" s="169"/>
      <c r="F155" s="169"/>
      <c r="G155" s="169"/>
      <c r="H155" s="169"/>
      <c r="I155" s="169"/>
      <c r="J155" s="169"/>
      <c r="K155" s="169"/>
      <c r="L155" s="169"/>
      <c r="M155" s="169"/>
      <c r="N155" s="169"/>
      <c r="O155" s="169"/>
      <c r="P155" s="169"/>
      <c r="Q155" s="169"/>
      <c r="R155" s="169"/>
      <c r="S155" s="169"/>
      <c r="T155" s="169"/>
      <c r="U155" s="169"/>
      <c r="V155" s="169"/>
      <c r="W155" s="169"/>
      <c r="X155" s="169"/>
      <c r="Y155" s="169"/>
      <c r="Z155" s="169"/>
    </row>
    <row r="156" spans="1:26" ht="15.75" customHeight="1">
      <c r="A156" s="169"/>
      <c r="B156" s="169"/>
      <c r="C156" s="16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row>
    <row r="157" spans="1:26" ht="15.75" customHeight="1">
      <c r="A157" s="169"/>
      <c r="B157" s="169"/>
      <c r="C157" s="169"/>
      <c r="D157" s="169"/>
      <c r="E157" s="169"/>
      <c r="F157" s="169"/>
      <c r="G157" s="169"/>
      <c r="H157" s="169"/>
      <c r="I157" s="169"/>
      <c r="J157" s="169"/>
      <c r="K157" s="169"/>
      <c r="L157" s="169"/>
      <c r="M157" s="169"/>
      <c r="N157" s="169"/>
      <c r="O157" s="169"/>
      <c r="P157" s="169"/>
      <c r="Q157" s="169"/>
      <c r="R157" s="169"/>
      <c r="S157" s="169"/>
      <c r="T157" s="169"/>
      <c r="U157" s="169"/>
      <c r="V157" s="169"/>
      <c r="W157" s="169"/>
      <c r="X157" s="169"/>
      <c r="Y157" s="169"/>
      <c r="Z157" s="169"/>
    </row>
    <row r="158" spans="1:26" ht="15.75" customHeight="1">
      <c r="A158" s="169"/>
      <c r="B158" s="169"/>
      <c r="C158" s="16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row>
    <row r="159" spans="1:26" ht="15.75" customHeight="1">
      <c r="A159" s="169"/>
      <c r="B159" s="169"/>
      <c r="C159" s="169"/>
      <c r="D159" s="169"/>
      <c r="E159" s="169"/>
      <c r="F159" s="169"/>
      <c r="G159" s="169"/>
      <c r="H159" s="169"/>
      <c r="I159" s="169"/>
      <c r="J159" s="169"/>
      <c r="K159" s="169"/>
      <c r="L159" s="169"/>
      <c r="M159" s="169"/>
      <c r="N159" s="169"/>
      <c r="O159" s="169"/>
      <c r="P159" s="169"/>
      <c r="Q159" s="169"/>
      <c r="R159" s="169"/>
      <c r="S159" s="169"/>
      <c r="T159" s="169"/>
      <c r="U159" s="169"/>
      <c r="V159" s="169"/>
      <c r="W159" s="169"/>
      <c r="X159" s="169"/>
      <c r="Y159" s="169"/>
      <c r="Z159" s="169"/>
    </row>
    <row r="160" spans="1:26" ht="15.75" customHeight="1">
      <c r="A160" s="169"/>
      <c r="B160" s="169"/>
      <c r="C160" s="16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row>
    <row r="161" spans="1:26" ht="15.75" customHeight="1">
      <c r="A161" s="169"/>
      <c r="B161" s="169"/>
      <c r="C161" s="169"/>
      <c r="D161" s="169"/>
      <c r="E161" s="169"/>
      <c r="F161" s="169"/>
      <c r="G161" s="169"/>
      <c r="H161" s="169"/>
      <c r="I161" s="169"/>
      <c r="J161" s="169"/>
      <c r="K161" s="169"/>
      <c r="L161" s="169"/>
      <c r="M161" s="169"/>
      <c r="N161" s="169"/>
      <c r="O161" s="169"/>
      <c r="P161" s="169"/>
      <c r="Q161" s="169"/>
      <c r="R161" s="169"/>
      <c r="S161" s="169"/>
      <c r="T161" s="169"/>
      <c r="U161" s="169"/>
      <c r="V161" s="169"/>
      <c r="W161" s="169"/>
      <c r="X161" s="169"/>
      <c r="Y161" s="169"/>
      <c r="Z161" s="169"/>
    </row>
    <row r="162" spans="1:26" ht="15.75" customHeight="1">
      <c r="A162" s="169"/>
      <c r="B162" s="169"/>
      <c r="C162" s="16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row>
    <row r="163" spans="1:26" ht="15.75" customHeight="1">
      <c r="A163" s="169"/>
      <c r="B163" s="169"/>
      <c r="C163" s="169"/>
      <c r="D163" s="169"/>
      <c r="E163" s="169"/>
      <c r="F163" s="169"/>
      <c r="G163" s="169"/>
      <c r="H163" s="169"/>
      <c r="I163" s="169"/>
      <c r="J163" s="169"/>
      <c r="K163" s="169"/>
      <c r="L163" s="169"/>
      <c r="M163" s="169"/>
      <c r="N163" s="169"/>
      <c r="O163" s="169"/>
      <c r="P163" s="169"/>
      <c r="Q163" s="169"/>
      <c r="R163" s="169"/>
      <c r="S163" s="169"/>
      <c r="T163" s="169"/>
      <c r="U163" s="169"/>
      <c r="V163" s="169"/>
      <c r="W163" s="169"/>
      <c r="X163" s="169"/>
      <c r="Y163" s="169"/>
      <c r="Z163" s="169"/>
    </row>
    <row r="164" spans="1:26" ht="15.75" customHeight="1">
      <c r="A164" s="169"/>
      <c r="B164" s="169"/>
      <c r="C164" s="16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row>
    <row r="165" spans="1:26" ht="15.75" customHeight="1">
      <c r="A165" s="169"/>
      <c r="B165" s="169"/>
      <c r="C165" s="169"/>
      <c r="D165" s="169"/>
      <c r="E165" s="169"/>
      <c r="F165" s="169"/>
      <c r="G165" s="169"/>
      <c r="H165" s="169"/>
      <c r="I165" s="169"/>
      <c r="J165" s="169"/>
      <c r="K165" s="169"/>
      <c r="L165" s="169"/>
      <c r="M165" s="169"/>
      <c r="N165" s="169"/>
      <c r="O165" s="169"/>
      <c r="P165" s="169"/>
      <c r="Q165" s="169"/>
      <c r="R165" s="169"/>
      <c r="S165" s="169"/>
      <c r="T165" s="169"/>
      <c r="U165" s="169"/>
      <c r="V165" s="169"/>
      <c r="W165" s="169"/>
      <c r="X165" s="169"/>
      <c r="Y165" s="169"/>
      <c r="Z165" s="169"/>
    </row>
    <row r="166" spans="1:26" ht="15.75" customHeight="1">
      <c r="A166" s="169"/>
      <c r="B166" s="169"/>
      <c r="C166" s="16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row>
    <row r="167" spans="1:26" ht="15.75" customHeight="1">
      <c r="A167" s="169"/>
      <c r="B167" s="169"/>
      <c r="C167" s="169"/>
      <c r="D167" s="169"/>
      <c r="E167" s="169"/>
      <c r="F167" s="169"/>
      <c r="G167" s="169"/>
      <c r="H167" s="169"/>
      <c r="I167" s="169"/>
      <c r="J167" s="169"/>
      <c r="K167" s="169"/>
      <c r="L167" s="169"/>
      <c r="M167" s="169"/>
      <c r="N167" s="169"/>
      <c r="O167" s="169"/>
      <c r="P167" s="169"/>
      <c r="Q167" s="169"/>
      <c r="R167" s="169"/>
      <c r="S167" s="169"/>
      <c r="T167" s="169"/>
      <c r="U167" s="169"/>
      <c r="V167" s="169"/>
      <c r="W167" s="169"/>
      <c r="X167" s="169"/>
      <c r="Y167" s="169"/>
      <c r="Z167" s="169"/>
    </row>
    <row r="168" spans="1:26" ht="15.75" customHeight="1">
      <c r="A168" s="169"/>
      <c r="B168" s="169"/>
      <c r="C168" s="16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row>
    <row r="169" spans="1:26" ht="15.75" customHeight="1">
      <c r="A169" s="169"/>
      <c r="B169" s="169"/>
      <c r="C169" s="169"/>
      <c r="D169" s="169"/>
      <c r="E169" s="169"/>
      <c r="F169" s="169"/>
      <c r="G169" s="169"/>
      <c r="H169" s="169"/>
      <c r="I169" s="169"/>
      <c r="J169" s="169"/>
      <c r="K169" s="169"/>
      <c r="L169" s="169"/>
      <c r="M169" s="169"/>
      <c r="N169" s="169"/>
      <c r="O169" s="169"/>
      <c r="P169" s="169"/>
      <c r="Q169" s="169"/>
      <c r="R169" s="169"/>
      <c r="S169" s="169"/>
      <c r="T169" s="169"/>
      <c r="U169" s="169"/>
      <c r="V169" s="169"/>
      <c r="W169" s="169"/>
      <c r="X169" s="169"/>
      <c r="Y169" s="169"/>
      <c r="Z169" s="169"/>
    </row>
    <row r="170" spans="1:26" ht="15.75" customHeight="1">
      <c r="A170" s="169"/>
      <c r="B170" s="169"/>
      <c r="C170" s="16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row>
    <row r="171" spans="1:26" ht="15.75" customHeight="1">
      <c r="A171" s="169"/>
      <c r="B171" s="169"/>
      <c r="C171" s="169"/>
      <c r="D171" s="169"/>
      <c r="E171" s="169"/>
      <c r="F171" s="169"/>
      <c r="G171" s="169"/>
      <c r="H171" s="169"/>
      <c r="I171" s="169"/>
      <c r="J171" s="169"/>
      <c r="K171" s="169"/>
      <c r="L171" s="169"/>
      <c r="M171" s="169"/>
      <c r="N171" s="169"/>
      <c r="O171" s="169"/>
      <c r="P171" s="169"/>
      <c r="Q171" s="169"/>
      <c r="R171" s="169"/>
      <c r="S171" s="169"/>
      <c r="T171" s="169"/>
      <c r="U171" s="169"/>
      <c r="V171" s="169"/>
      <c r="W171" s="169"/>
      <c r="X171" s="169"/>
      <c r="Y171" s="169"/>
      <c r="Z171" s="169"/>
    </row>
    <row r="172" spans="1:26" ht="15.75" customHeight="1">
      <c r="A172" s="169"/>
      <c r="B172" s="169"/>
      <c r="C172" s="16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row>
    <row r="173" spans="1:26" ht="15.75" customHeight="1">
      <c r="A173" s="169"/>
      <c r="B173" s="169"/>
      <c r="C173" s="169"/>
      <c r="D173" s="169"/>
      <c r="E173" s="169"/>
      <c r="F173" s="169"/>
      <c r="G173" s="169"/>
      <c r="H173" s="169"/>
      <c r="I173" s="169"/>
      <c r="J173" s="169"/>
      <c r="K173" s="169"/>
      <c r="L173" s="169"/>
      <c r="M173" s="169"/>
      <c r="N173" s="169"/>
      <c r="O173" s="169"/>
      <c r="P173" s="169"/>
      <c r="Q173" s="169"/>
      <c r="R173" s="169"/>
      <c r="S173" s="169"/>
      <c r="T173" s="169"/>
      <c r="U173" s="169"/>
      <c r="V173" s="169"/>
      <c r="W173" s="169"/>
      <c r="X173" s="169"/>
      <c r="Y173" s="169"/>
      <c r="Z173" s="169"/>
    </row>
    <row r="174" spans="1:26" ht="15.75" customHeight="1">
      <c r="A174" s="169"/>
      <c r="B174" s="169"/>
      <c r="C174" s="16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row>
    <row r="175" spans="1:26" ht="15.75" customHeight="1">
      <c r="A175" s="169"/>
      <c r="B175" s="169"/>
      <c r="C175" s="169"/>
      <c r="D175" s="169"/>
      <c r="E175" s="169"/>
      <c r="F175" s="169"/>
      <c r="G175" s="169"/>
      <c r="H175" s="169"/>
      <c r="I175" s="169"/>
      <c r="J175" s="169"/>
      <c r="K175" s="169"/>
      <c r="L175" s="169"/>
      <c r="M175" s="169"/>
      <c r="N175" s="169"/>
      <c r="O175" s="169"/>
      <c r="P175" s="169"/>
      <c r="Q175" s="169"/>
      <c r="R175" s="169"/>
      <c r="S175" s="169"/>
      <c r="T175" s="169"/>
      <c r="U175" s="169"/>
      <c r="V175" s="169"/>
      <c r="W175" s="169"/>
      <c r="X175" s="169"/>
      <c r="Y175" s="169"/>
      <c r="Z175" s="169"/>
    </row>
    <row r="176" spans="1:26" ht="15.75" customHeight="1">
      <c r="A176" s="169"/>
      <c r="B176" s="169"/>
      <c r="C176" s="16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row>
    <row r="177" spans="1:26" ht="15.75" customHeight="1">
      <c r="A177" s="169"/>
      <c r="B177" s="169"/>
      <c r="C177" s="169"/>
      <c r="D177" s="169"/>
      <c r="E177" s="169"/>
      <c r="F177" s="169"/>
      <c r="G177" s="169"/>
      <c r="H177" s="169"/>
      <c r="I177" s="169"/>
      <c r="J177" s="169"/>
      <c r="K177" s="169"/>
      <c r="L177" s="169"/>
      <c r="M177" s="169"/>
      <c r="N177" s="169"/>
      <c r="O177" s="169"/>
      <c r="P177" s="169"/>
      <c r="Q177" s="169"/>
      <c r="R177" s="169"/>
      <c r="S177" s="169"/>
      <c r="T177" s="169"/>
      <c r="U177" s="169"/>
      <c r="V177" s="169"/>
      <c r="W177" s="169"/>
      <c r="X177" s="169"/>
      <c r="Y177" s="169"/>
      <c r="Z177" s="169"/>
    </row>
    <row r="178" spans="1:26" ht="15.75" customHeight="1">
      <c r="A178" s="169"/>
      <c r="B178" s="169"/>
      <c r="C178" s="16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row>
    <row r="179" spans="1:26" ht="15.75" customHeight="1">
      <c r="A179" s="169"/>
      <c r="B179" s="169"/>
      <c r="C179" s="169"/>
      <c r="D179" s="169"/>
      <c r="E179" s="169"/>
      <c r="F179" s="169"/>
      <c r="G179" s="169"/>
      <c r="H179" s="169"/>
      <c r="I179" s="169"/>
      <c r="J179" s="169"/>
      <c r="K179" s="169"/>
      <c r="L179" s="169"/>
      <c r="M179" s="169"/>
      <c r="N179" s="169"/>
      <c r="O179" s="169"/>
      <c r="P179" s="169"/>
      <c r="Q179" s="169"/>
      <c r="R179" s="169"/>
      <c r="S179" s="169"/>
      <c r="T179" s="169"/>
      <c r="U179" s="169"/>
      <c r="V179" s="169"/>
      <c r="W179" s="169"/>
      <c r="X179" s="169"/>
      <c r="Y179" s="169"/>
      <c r="Z179" s="169"/>
    </row>
    <row r="180" spans="1:26" ht="15.75" customHeight="1">
      <c r="A180" s="169"/>
      <c r="B180" s="169"/>
      <c r="C180" s="16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row>
    <row r="181" spans="1:26" ht="15.75" customHeight="1">
      <c r="A181" s="169"/>
      <c r="B181" s="169"/>
      <c r="C181" s="169"/>
      <c r="D181" s="169"/>
      <c r="E181" s="169"/>
      <c r="F181" s="169"/>
      <c r="G181" s="169"/>
      <c r="H181" s="169"/>
      <c r="I181" s="169"/>
      <c r="J181" s="169"/>
      <c r="K181" s="169"/>
      <c r="L181" s="169"/>
      <c r="M181" s="169"/>
      <c r="N181" s="169"/>
      <c r="O181" s="169"/>
      <c r="P181" s="169"/>
      <c r="Q181" s="169"/>
      <c r="R181" s="169"/>
      <c r="S181" s="169"/>
      <c r="T181" s="169"/>
      <c r="U181" s="169"/>
      <c r="V181" s="169"/>
      <c r="W181" s="169"/>
      <c r="X181" s="169"/>
      <c r="Y181" s="169"/>
      <c r="Z181" s="169"/>
    </row>
    <row r="182" spans="1:26" ht="15.75" customHeight="1">
      <c r="A182" s="169"/>
      <c r="B182" s="169"/>
      <c r="C182" s="16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row>
    <row r="183" spans="1:26" ht="15.75" customHeight="1">
      <c r="A183" s="169"/>
      <c r="B183" s="169"/>
      <c r="C183" s="169"/>
      <c r="D183" s="169"/>
      <c r="E183" s="169"/>
      <c r="F183" s="169"/>
      <c r="G183" s="169"/>
      <c r="H183" s="169"/>
      <c r="I183" s="169"/>
      <c r="J183" s="169"/>
      <c r="K183" s="169"/>
      <c r="L183" s="169"/>
      <c r="M183" s="169"/>
      <c r="N183" s="169"/>
      <c r="O183" s="169"/>
      <c r="P183" s="169"/>
      <c r="Q183" s="169"/>
      <c r="R183" s="169"/>
      <c r="S183" s="169"/>
      <c r="T183" s="169"/>
      <c r="U183" s="169"/>
      <c r="V183" s="169"/>
      <c r="W183" s="169"/>
      <c r="X183" s="169"/>
      <c r="Y183" s="169"/>
      <c r="Z183" s="169"/>
    </row>
    <row r="184" spans="1:26" ht="15.75" customHeight="1">
      <c r="A184" s="169"/>
      <c r="B184" s="169"/>
      <c r="C184" s="16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row>
    <row r="185" spans="1:26" ht="15.75" customHeight="1">
      <c r="A185" s="169"/>
      <c r="B185" s="169"/>
      <c r="C185" s="169"/>
      <c r="D185" s="169"/>
      <c r="E185" s="169"/>
      <c r="F185" s="169"/>
      <c r="G185" s="169"/>
      <c r="H185" s="169"/>
      <c r="I185" s="169"/>
      <c r="J185" s="169"/>
      <c r="K185" s="169"/>
      <c r="L185" s="169"/>
      <c r="M185" s="169"/>
      <c r="N185" s="169"/>
      <c r="O185" s="169"/>
      <c r="P185" s="169"/>
      <c r="Q185" s="169"/>
      <c r="R185" s="169"/>
      <c r="S185" s="169"/>
      <c r="T185" s="169"/>
      <c r="U185" s="169"/>
      <c r="V185" s="169"/>
      <c r="W185" s="169"/>
      <c r="X185" s="169"/>
      <c r="Y185" s="169"/>
      <c r="Z185" s="169"/>
    </row>
    <row r="186" spans="1:26" ht="15.75" customHeight="1">
      <c r="A186" s="169"/>
      <c r="B186" s="169"/>
      <c r="C186" s="16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row>
    <row r="187" spans="1:26" ht="15.75" customHeight="1">
      <c r="A187" s="169"/>
      <c r="B187" s="169"/>
      <c r="C187" s="169"/>
      <c r="D187" s="169"/>
      <c r="E187" s="169"/>
      <c r="F187" s="169"/>
      <c r="G187" s="169"/>
      <c r="H187" s="169"/>
      <c r="I187" s="169"/>
      <c r="J187" s="169"/>
      <c r="K187" s="169"/>
      <c r="L187" s="169"/>
      <c r="M187" s="169"/>
      <c r="N187" s="169"/>
      <c r="O187" s="169"/>
      <c r="P187" s="169"/>
      <c r="Q187" s="169"/>
      <c r="R187" s="169"/>
      <c r="S187" s="169"/>
      <c r="T187" s="169"/>
      <c r="U187" s="169"/>
      <c r="V187" s="169"/>
      <c r="W187" s="169"/>
      <c r="X187" s="169"/>
      <c r="Y187" s="169"/>
      <c r="Z187" s="169"/>
    </row>
    <row r="188" spans="1:26" ht="15.75" customHeight="1">
      <c r="A188" s="169"/>
      <c r="B188" s="169"/>
      <c r="C188" s="16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row>
    <row r="189" spans="1:26" ht="15.75" customHeight="1">
      <c r="A189" s="169"/>
      <c r="B189" s="169"/>
      <c r="C189" s="169"/>
      <c r="D189" s="169"/>
      <c r="E189" s="169"/>
      <c r="F189" s="169"/>
      <c r="G189" s="169"/>
      <c r="H189" s="169"/>
      <c r="I189" s="169"/>
      <c r="J189" s="169"/>
      <c r="K189" s="169"/>
      <c r="L189" s="169"/>
      <c r="M189" s="169"/>
      <c r="N189" s="169"/>
      <c r="O189" s="169"/>
      <c r="P189" s="169"/>
      <c r="Q189" s="169"/>
      <c r="R189" s="169"/>
      <c r="S189" s="169"/>
      <c r="T189" s="169"/>
      <c r="U189" s="169"/>
      <c r="V189" s="169"/>
      <c r="W189" s="169"/>
      <c r="X189" s="169"/>
      <c r="Y189" s="169"/>
      <c r="Z189" s="169"/>
    </row>
    <row r="190" spans="1:26" ht="15.75" customHeight="1">
      <c r="A190" s="169"/>
      <c r="B190" s="169"/>
      <c r="C190" s="16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row>
    <row r="191" spans="1:26" ht="15.75" customHeight="1">
      <c r="A191" s="169"/>
      <c r="B191" s="169"/>
      <c r="C191" s="169"/>
      <c r="D191" s="169"/>
      <c r="E191" s="169"/>
      <c r="F191" s="169"/>
      <c r="G191" s="169"/>
      <c r="H191" s="169"/>
      <c r="I191" s="169"/>
      <c r="J191" s="169"/>
      <c r="K191" s="169"/>
      <c r="L191" s="169"/>
      <c r="M191" s="169"/>
      <c r="N191" s="169"/>
      <c r="O191" s="169"/>
      <c r="P191" s="169"/>
      <c r="Q191" s="169"/>
      <c r="R191" s="169"/>
      <c r="S191" s="169"/>
      <c r="T191" s="169"/>
      <c r="U191" s="169"/>
      <c r="V191" s="169"/>
      <c r="W191" s="169"/>
      <c r="X191" s="169"/>
      <c r="Y191" s="169"/>
      <c r="Z191" s="169"/>
    </row>
    <row r="192" spans="1:26" ht="15.75" customHeight="1">
      <c r="A192" s="169"/>
      <c r="B192" s="169"/>
      <c r="C192" s="16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row>
    <row r="193" spans="1:26" ht="15.75" customHeight="1">
      <c r="A193" s="169"/>
      <c r="B193" s="169"/>
      <c r="C193" s="169"/>
      <c r="D193" s="169"/>
      <c r="E193" s="169"/>
      <c r="F193" s="169"/>
      <c r="G193" s="169"/>
      <c r="H193" s="169"/>
      <c r="I193" s="169"/>
      <c r="J193" s="169"/>
      <c r="K193" s="169"/>
      <c r="L193" s="169"/>
      <c r="M193" s="169"/>
      <c r="N193" s="169"/>
      <c r="O193" s="169"/>
      <c r="P193" s="169"/>
      <c r="Q193" s="169"/>
      <c r="R193" s="169"/>
      <c r="S193" s="169"/>
      <c r="T193" s="169"/>
      <c r="U193" s="169"/>
      <c r="V193" s="169"/>
      <c r="W193" s="169"/>
      <c r="X193" s="169"/>
      <c r="Y193" s="169"/>
      <c r="Z193" s="169"/>
    </row>
    <row r="194" spans="1:26" ht="15.75" customHeight="1">
      <c r="A194" s="169"/>
      <c r="B194" s="169"/>
      <c r="C194" s="16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row>
    <row r="195" spans="1:26" ht="15.75" customHeight="1">
      <c r="A195" s="169"/>
      <c r="B195" s="169"/>
      <c r="C195" s="169"/>
      <c r="D195" s="169"/>
      <c r="E195" s="169"/>
      <c r="F195" s="169"/>
      <c r="G195" s="169"/>
      <c r="H195" s="169"/>
      <c r="I195" s="169"/>
      <c r="J195" s="169"/>
      <c r="K195" s="169"/>
      <c r="L195" s="169"/>
      <c r="M195" s="169"/>
      <c r="N195" s="169"/>
      <c r="O195" s="169"/>
      <c r="P195" s="169"/>
      <c r="Q195" s="169"/>
      <c r="R195" s="169"/>
      <c r="S195" s="169"/>
      <c r="T195" s="169"/>
      <c r="U195" s="169"/>
      <c r="V195" s="169"/>
      <c r="W195" s="169"/>
      <c r="X195" s="169"/>
      <c r="Y195" s="169"/>
      <c r="Z195" s="169"/>
    </row>
    <row r="196" spans="1:26" ht="15.75" customHeight="1">
      <c r="A196" s="169"/>
      <c r="B196" s="169"/>
      <c r="C196" s="16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row>
    <row r="197" spans="1:26" ht="15.75" customHeight="1">
      <c r="A197" s="169"/>
      <c r="B197" s="169"/>
      <c r="C197" s="169"/>
      <c r="D197" s="169"/>
      <c r="E197" s="169"/>
      <c r="F197" s="169"/>
      <c r="G197" s="169"/>
      <c r="H197" s="169"/>
      <c r="I197" s="169"/>
      <c r="J197" s="169"/>
      <c r="K197" s="169"/>
      <c r="L197" s="169"/>
      <c r="M197" s="169"/>
      <c r="N197" s="169"/>
      <c r="O197" s="169"/>
      <c r="P197" s="169"/>
      <c r="Q197" s="169"/>
      <c r="R197" s="169"/>
      <c r="S197" s="169"/>
      <c r="T197" s="169"/>
      <c r="U197" s="169"/>
      <c r="V197" s="169"/>
      <c r="W197" s="169"/>
      <c r="X197" s="169"/>
      <c r="Y197" s="169"/>
      <c r="Z197" s="169"/>
    </row>
    <row r="198" spans="1:26" ht="15.75" customHeight="1">
      <c r="A198" s="169"/>
      <c r="B198" s="169"/>
      <c r="C198" s="16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row>
    <row r="199" spans="1:26" ht="15.75" customHeight="1">
      <c r="A199" s="169"/>
      <c r="B199" s="169"/>
      <c r="C199" s="169"/>
      <c r="D199" s="169"/>
      <c r="E199" s="169"/>
      <c r="F199" s="169"/>
      <c r="G199" s="169"/>
      <c r="H199" s="169"/>
      <c r="I199" s="169"/>
      <c r="J199" s="169"/>
      <c r="K199" s="169"/>
      <c r="L199" s="169"/>
      <c r="M199" s="169"/>
      <c r="N199" s="169"/>
      <c r="O199" s="169"/>
      <c r="P199" s="169"/>
      <c r="Q199" s="169"/>
      <c r="R199" s="169"/>
      <c r="S199" s="169"/>
      <c r="T199" s="169"/>
      <c r="U199" s="169"/>
      <c r="V199" s="169"/>
      <c r="W199" s="169"/>
      <c r="X199" s="169"/>
      <c r="Y199" s="169"/>
      <c r="Z199" s="169"/>
    </row>
    <row r="200" spans="1:26" ht="15.75" customHeight="1">
      <c r="A200" s="169"/>
      <c r="B200" s="169"/>
      <c r="C200" s="169"/>
      <c r="D200" s="169"/>
      <c r="E200" s="169"/>
      <c r="F200" s="169"/>
      <c r="G200" s="169"/>
      <c r="H200" s="169"/>
      <c r="I200" s="169"/>
      <c r="J200" s="169"/>
      <c r="K200" s="169"/>
      <c r="L200" s="169"/>
      <c r="M200" s="169"/>
      <c r="N200" s="169"/>
      <c r="O200" s="169"/>
      <c r="P200" s="169"/>
      <c r="Q200" s="169"/>
      <c r="R200" s="169"/>
      <c r="S200" s="169"/>
      <c r="T200" s="169"/>
      <c r="U200" s="169"/>
      <c r="V200" s="169"/>
      <c r="W200" s="169"/>
      <c r="X200" s="169"/>
      <c r="Y200" s="169"/>
      <c r="Z200" s="169"/>
    </row>
    <row r="201" spans="1:26" ht="15.75" customHeight="1">
      <c r="A201" s="169"/>
      <c r="B201" s="169"/>
      <c r="C201" s="169"/>
      <c r="D201" s="169"/>
      <c r="E201" s="169"/>
      <c r="F201" s="169"/>
      <c r="G201" s="169"/>
      <c r="H201" s="169"/>
      <c r="I201" s="169"/>
      <c r="J201" s="169"/>
      <c r="K201" s="169"/>
      <c r="L201" s="169"/>
      <c r="M201" s="169"/>
      <c r="N201" s="169"/>
      <c r="O201" s="169"/>
      <c r="P201" s="169"/>
      <c r="Q201" s="169"/>
      <c r="R201" s="169"/>
      <c r="S201" s="169"/>
      <c r="T201" s="169"/>
      <c r="U201" s="169"/>
      <c r="V201" s="169"/>
      <c r="W201" s="169"/>
      <c r="X201" s="169"/>
      <c r="Y201" s="169"/>
      <c r="Z201" s="169"/>
    </row>
    <row r="202" spans="1:26" ht="15.75" customHeight="1">
      <c r="A202" s="169"/>
      <c r="B202" s="169"/>
      <c r="C202" s="169"/>
      <c r="D202" s="169"/>
      <c r="E202" s="169"/>
      <c r="F202" s="169"/>
      <c r="G202" s="169"/>
      <c r="H202" s="169"/>
      <c r="I202" s="169"/>
      <c r="J202" s="169"/>
      <c r="K202" s="169"/>
      <c r="L202" s="169"/>
      <c r="M202" s="169"/>
      <c r="N202" s="169"/>
      <c r="O202" s="169"/>
      <c r="P202" s="169"/>
      <c r="Q202" s="169"/>
      <c r="R202" s="169"/>
      <c r="S202" s="169"/>
      <c r="T202" s="169"/>
      <c r="U202" s="169"/>
      <c r="V202" s="169"/>
      <c r="W202" s="169"/>
      <c r="X202" s="169"/>
      <c r="Y202" s="169"/>
      <c r="Z202" s="169"/>
    </row>
    <row r="203" spans="1:26" ht="15.75" customHeight="1">
      <c r="A203" s="169"/>
      <c r="B203" s="169"/>
      <c r="C203" s="169"/>
      <c r="D203" s="169"/>
      <c r="E203" s="169"/>
      <c r="F203" s="169"/>
      <c r="G203" s="169"/>
      <c r="H203" s="169"/>
      <c r="I203" s="169"/>
      <c r="J203" s="169"/>
      <c r="K203" s="169"/>
      <c r="L203" s="169"/>
      <c r="M203" s="169"/>
      <c r="N203" s="169"/>
      <c r="O203" s="169"/>
      <c r="P203" s="169"/>
      <c r="Q203" s="169"/>
      <c r="R203" s="169"/>
      <c r="S203" s="169"/>
      <c r="T203" s="169"/>
      <c r="U203" s="169"/>
      <c r="V203" s="169"/>
      <c r="W203" s="169"/>
      <c r="X203" s="169"/>
      <c r="Y203" s="169"/>
      <c r="Z203" s="169"/>
    </row>
    <row r="204" spans="1:26" ht="15.75" customHeight="1">
      <c r="A204" s="169"/>
      <c r="B204" s="169"/>
      <c r="C204" s="169"/>
      <c r="D204" s="169"/>
      <c r="E204" s="169"/>
      <c r="F204" s="169"/>
      <c r="G204" s="169"/>
      <c r="H204" s="169"/>
      <c r="I204" s="169"/>
      <c r="J204" s="169"/>
      <c r="K204" s="169"/>
      <c r="L204" s="169"/>
      <c r="M204" s="169"/>
      <c r="N204" s="169"/>
      <c r="O204" s="169"/>
      <c r="P204" s="169"/>
      <c r="Q204" s="169"/>
      <c r="R204" s="169"/>
      <c r="S204" s="169"/>
      <c r="T204" s="169"/>
      <c r="U204" s="169"/>
      <c r="V204" s="169"/>
      <c r="W204" s="169"/>
      <c r="X204" s="169"/>
      <c r="Y204" s="169"/>
      <c r="Z204" s="169"/>
    </row>
    <row r="205" spans="1:26" ht="15.75" customHeight="1">
      <c r="A205" s="169"/>
      <c r="B205" s="169"/>
      <c r="C205" s="169"/>
      <c r="D205" s="169"/>
      <c r="E205" s="169"/>
      <c r="F205" s="169"/>
      <c r="G205" s="169"/>
      <c r="H205" s="169"/>
      <c r="I205" s="169"/>
      <c r="J205" s="169"/>
      <c r="K205" s="169"/>
      <c r="L205" s="169"/>
      <c r="M205" s="169"/>
      <c r="N205" s="169"/>
      <c r="O205" s="169"/>
      <c r="P205" s="169"/>
      <c r="Q205" s="169"/>
      <c r="R205" s="169"/>
      <c r="S205" s="169"/>
      <c r="T205" s="169"/>
      <c r="U205" s="169"/>
      <c r="V205" s="169"/>
      <c r="W205" s="169"/>
      <c r="X205" s="169"/>
      <c r="Y205" s="169"/>
      <c r="Z205" s="169"/>
    </row>
    <row r="206" spans="1:26" ht="15.75" customHeight="1">
      <c r="A206" s="169"/>
      <c r="B206" s="169"/>
      <c r="C206" s="169"/>
      <c r="D206" s="169"/>
      <c r="E206" s="169"/>
      <c r="F206" s="169"/>
      <c r="G206" s="169"/>
      <c r="H206" s="169"/>
      <c r="I206" s="169"/>
      <c r="J206" s="169"/>
      <c r="K206" s="169"/>
      <c r="L206" s="169"/>
      <c r="M206" s="169"/>
      <c r="N206" s="169"/>
      <c r="O206" s="169"/>
      <c r="P206" s="169"/>
      <c r="Q206" s="169"/>
      <c r="R206" s="169"/>
      <c r="S206" s="169"/>
      <c r="T206" s="169"/>
      <c r="U206" s="169"/>
      <c r="V206" s="169"/>
      <c r="W206" s="169"/>
      <c r="X206" s="169"/>
      <c r="Y206" s="169"/>
      <c r="Z206" s="169"/>
    </row>
    <row r="207" spans="1:26" ht="15.75" customHeight="1">
      <c r="A207" s="169"/>
      <c r="B207" s="169"/>
      <c r="C207" s="169"/>
      <c r="D207" s="169"/>
      <c r="E207" s="169"/>
      <c r="F207" s="169"/>
      <c r="G207" s="169"/>
      <c r="H207" s="169"/>
      <c r="I207" s="169"/>
      <c r="J207" s="169"/>
      <c r="K207" s="169"/>
      <c r="L207" s="169"/>
      <c r="M207" s="169"/>
      <c r="N207" s="169"/>
      <c r="O207" s="169"/>
      <c r="P207" s="169"/>
      <c r="Q207" s="169"/>
      <c r="R207" s="169"/>
      <c r="S207" s="169"/>
      <c r="T207" s="169"/>
      <c r="U207" s="169"/>
      <c r="V207" s="169"/>
      <c r="W207" s="169"/>
      <c r="X207" s="169"/>
      <c r="Y207" s="169"/>
      <c r="Z207" s="169"/>
    </row>
    <row r="208" spans="1:26" ht="15.75" customHeight="1">
      <c r="A208" s="169"/>
      <c r="B208" s="169"/>
      <c r="C208" s="169"/>
      <c r="D208" s="169"/>
      <c r="E208" s="169"/>
      <c r="F208" s="169"/>
      <c r="G208" s="169"/>
      <c r="H208" s="169"/>
      <c r="I208" s="169"/>
      <c r="J208" s="169"/>
      <c r="K208" s="169"/>
      <c r="L208" s="169"/>
      <c r="M208" s="169"/>
      <c r="N208" s="169"/>
      <c r="O208" s="169"/>
      <c r="P208" s="169"/>
      <c r="Q208" s="169"/>
      <c r="R208" s="169"/>
      <c r="S208" s="169"/>
      <c r="T208" s="169"/>
      <c r="U208" s="169"/>
      <c r="V208" s="169"/>
      <c r="W208" s="169"/>
      <c r="X208" s="169"/>
      <c r="Y208" s="169"/>
      <c r="Z208" s="169"/>
    </row>
    <row r="209" spans="1:26" ht="15.75" customHeight="1">
      <c r="A209" s="169"/>
      <c r="B209" s="169"/>
      <c r="C209" s="169"/>
      <c r="D209" s="169"/>
      <c r="E209" s="169"/>
      <c r="F209" s="169"/>
      <c r="G209" s="169"/>
      <c r="H209" s="169"/>
      <c r="I209" s="169"/>
      <c r="J209" s="169"/>
      <c r="K209" s="169"/>
      <c r="L209" s="169"/>
      <c r="M209" s="169"/>
      <c r="N209" s="169"/>
      <c r="O209" s="169"/>
      <c r="P209" s="169"/>
      <c r="Q209" s="169"/>
      <c r="R209" s="169"/>
      <c r="S209" s="169"/>
      <c r="T209" s="169"/>
      <c r="U209" s="169"/>
      <c r="V209" s="169"/>
      <c r="W209" s="169"/>
      <c r="X209" s="169"/>
      <c r="Y209" s="169"/>
      <c r="Z209" s="169"/>
    </row>
    <row r="210" spans="1:26" ht="15.75" customHeight="1">
      <c r="A210" s="169"/>
      <c r="B210" s="169"/>
      <c r="C210" s="169"/>
      <c r="D210" s="169"/>
      <c r="E210" s="169"/>
      <c r="F210" s="169"/>
      <c r="G210" s="169"/>
      <c r="H210" s="169"/>
      <c r="I210" s="169"/>
      <c r="J210" s="169"/>
      <c r="K210" s="169"/>
      <c r="L210" s="169"/>
      <c r="M210" s="169"/>
      <c r="N210" s="169"/>
      <c r="O210" s="169"/>
      <c r="P210" s="169"/>
      <c r="Q210" s="169"/>
      <c r="R210" s="169"/>
      <c r="S210" s="169"/>
      <c r="T210" s="169"/>
      <c r="U210" s="169"/>
      <c r="V210" s="169"/>
      <c r="W210" s="169"/>
      <c r="X210" s="169"/>
      <c r="Y210" s="169"/>
      <c r="Z210" s="169"/>
    </row>
    <row r="211" spans="1:26" ht="15.75" customHeight="1">
      <c r="A211" s="169"/>
      <c r="B211" s="169"/>
      <c r="C211" s="169"/>
      <c r="D211" s="169"/>
      <c r="E211" s="169"/>
      <c r="F211" s="169"/>
      <c r="G211" s="169"/>
      <c r="H211" s="169"/>
      <c r="I211" s="169"/>
      <c r="J211" s="169"/>
      <c r="K211" s="169"/>
      <c r="L211" s="169"/>
      <c r="M211" s="169"/>
      <c r="N211" s="169"/>
      <c r="O211" s="169"/>
      <c r="P211" s="169"/>
      <c r="Q211" s="169"/>
      <c r="R211" s="169"/>
      <c r="S211" s="169"/>
      <c r="T211" s="169"/>
      <c r="U211" s="169"/>
      <c r="V211" s="169"/>
      <c r="W211" s="169"/>
      <c r="X211" s="169"/>
      <c r="Y211" s="169"/>
      <c r="Z211" s="169"/>
    </row>
    <row r="212" spans="1:26" ht="15.75" customHeight="1">
      <c r="A212" s="169"/>
      <c r="B212" s="169"/>
      <c r="C212" s="169"/>
      <c r="D212" s="169"/>
      <c r="E212" s="169"/>
      <c r="F212" s="169"/>
      <c r="G212" s="169"/>
      <c r="H212" s="169"/>
      <c r="I212" s="169"/>
      <c r="J212" s="169"/>
      <c r="K212" s="169"/>
      <c r="L212" s="169"/>
      <c r="M212" s="169"/>
      <c r="N212" s="169"/>
      <c r="O212" s="169"/>
      <c r="P212" s="169"/>
      <c r="Q212" s="169"/>
      <c r="R212" s="169"/>
      <c r="S212" s="169"/>
      <c r="T212" s="169"/>
      <c r="U212" s="169"/>
      <c r="V212" s="169"/>
      <c r="W212" s="169"/>
      <c r="X212" s="169"/>
      <c r="Y212" s="169"/>
      <c r="Z212" s="169"/>
    </row>
    <row r="213" spans="1:26" ht="15.75" customHeight="1">
      <c r="A213" s="169"/>
      <c r="B213" s="169"/>
      <c r="C213" s="169"/>
      <c r="D213" s="169"/>
      <c r="E213" s="169"/>
      <c r="F213" s="169"/>
      <c r="G213" s="169"/>
      <c r="H213" s="169"/>
      <c r="I213" s="169"/>
      <c r="J213" s="169"/>
      <c r="K213" s="169"/>
      <c r="L213" s="169"/>
      <c r="M213" s="169"/>
      <c r="N213" s="169"/>
      <c r="O213" s="169"/>
      <c r="P213" s="169"/>
      <c r="Q213" s="169"/>
      <c r="R213" s="169"/>
      <c r="S213" s="169"/>
      <c r="T213" s="169"/>
      <c r="U213" s="169"/>
      <c r="V213" s="169"/>
      <c r="W213" s="169"/>
      <c r="X213" s="169"/>
      <c r="Y213" s="169"/>
      <c r="Z213" s="169"/>
    </row>
    <row r="214" spans="1:26" ht="15.75" customHeight="1">
      <c r="A214" s="169"/>
      <c r="B214" s="169"/>
      <c r="C214" s="169"/>
      <c r="D214" s="169"/>
      <c r="E214" s="169"/>
      <c r="F214" s="169"/>
      <c r="G214" s="169"/>
      <c r="H214" s="169"/>
      <c r="I214" s="169"/>
      <c r="J214" s="169"/>
      <c r="K214" s="169"/>
      <c r="L214" s="169"/>
      <c r="M214" s="169"/>
      <c r="N214" s="169"/>
      <c r="O214" s="169"/>
      <c r="P214" s="169"/>
      <c r="Q214" s="169"/>
      <c r="R214" s="169"/>
      <c r="S214" s="169"/>
      <c r="T214" s="169"/>
      <c r="U214" s="169"/>
      <c r="V214" s="169"/>
      <c r="W214" s="169"/>
      <c r="X214" s="169"/>
      <c r="Y214" s="169"/>
      <c r="Z214" s="169"/>
    </row>
    <row r="215" spans="1:26" ht="15.75" customHeight="1">
      <c r="A215" s="169"/>
      <c r="B215" s="169"/>
      <c r="C215" s="169"/>
      <c r="D215" s="169"/>
      <c r="E215" s="169"/>
      <c r="F215" s="169"/>
      <c r="G215" s="169"/>
      <c r="H215" s="169"/>
      <c r="I215" s="169"/>
      <c r="J215" s="169"/>
      <c r="K215" s="169"/>
      <c r="L215" s="169"/>
      <c r="M215" s="169"/>
      <c r="N215" s="169"/>
      <c r="O215" s="169"/>
      <c r="P215" s="169"/>
      <c r="Q215" s="169"/>
      <c r="R215" s="169"/>
      <c r="S215" s="169"/>
      <c r="T215" s="169"/>
      <c r="U215" s="169"/>
      <c r="V215" s="169"/>
      <c r="W215" s="169"/>
      <c r="X215" s="169"/>
      <c r="Y215" s="169"/>
      <c r="Z215" s="169"/>
    </row>
    <row r="216" spans="1:26" ht="15.75" customHeight="1">
      <c r="A216" s="169"/>
      <c r="B216" s="169"/>
      <c r="C216" s="169"/>
      <c r="D216" s="169"/>
      <c r="E216" s="169"/>
      <c r="F216" s="169"/>
      <c r="G216" s="169"/>
      <c r="H216" s="169"/>
      <c r="I216" s="169"/>
      <c r="J216" s="169"/>
      <c r="K216" s="169"/>
      <c r="L216" s="169"/>
      <c r="M216" s="169"/>
      <c r="N216" s="169"/>
      <c r="O216" s="169"/>
      <c r="P216" s="169"/>
      <c r="Q216" s="169"/>
      <c r="R216" s="169"/>
      <c r="S216" s="169"/>
      <c r="T216" s="169"/>
      <c r="U216" s="169"/>
      <c r="V216" s="169"/>
      <c r="W216" s="169"/>
      <c r="X216" s="169"/>
      <c r="Y216" s="169"/>
      <c r="Z216" s="169"/>
    </row>
    <row r="217" spans="1:26" ht="15.75" customHeight="1">
      <c r="A217" s="169"/>
      <c r="B217" s="169"/>
      <c r="C217" s="169"/>
      <c r="D217" s="169"/>
      <c r="E217" s="169"/>
      <c r="F217" s="169"/>
      <c r="G217" s="169"/>
      <c r="H217" s="169"/>
      <c r="I217" s="169"/>
      <c r="J217" s="169"/>
      <c r="K217" s="169"/>
      <c r="L217" s="169"/>
      <c r="M217" s="169"/>
      <c r="N217" s="169"/>
      <c r="O217" s="169"/>
      <c r="P217" s="169"/>
      <c r="Q217" s="169"/>
      <c r="R217" s="169"/>
      <c r="S217" s="169"/>
      <c r="T217" s="169"/>
      <c r="U217" s="169"/>
      <c r="V217" s="169"/>
      <c r="W217" s="169"/>
      <c r="X217" s="169"/>
      <c r="Y217" s="169"/>
      <c r="Z217" s="169"/>
    </row>
    <row r="218" spans="1:26" ht="15.75" customHeight="1">
      <c r="A218" s="169"/>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row>
    <row r="219" spans="1:26" ht="15.75" customHeight="1">
      <c r="A219" s="169"/>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row>
    <row r="220" spans="1:26" ht="15.75" customHeight="1">
      <c r="A220" s="169"/>
      <c r="B220" s="169"/>
      <c r="C220" s="169"/>
      <c r="D220" s="169"/>
      <c r="E220" s="169"/>
      <c r="F220" s="169"/>
      <c r="G220" s="169"/>
      <c r="H220" s="169"/>
      <c r="I220" s="169"/>
      <c r="J220" s="169"/>
      <c r="K220" s="169"/>
      <c r="L220" s="169"/>
      <c r="M220" s="169"/>
      <c r="N220" s="169"/>
      <c r="O220" s="169"/>
      <c r="P220" s="169"/>
      <c r="Q220" s="169"/>
      <c r="R220" s="169"/>
      <c r="S220" s="169"/>
      <c r="T220" s="169"/>
      <c r="U220" s="169"/>
      <c r="V220" s="169"/>
      <c r="W220" s="169"/>
      <c r="X220" s="169"/>
      <c r="Y220" s="169"/>
      <c r="Z220" s="169"/>
    </row>
    <row r="221" spans="1:26" ht="15.75" customHeight="1">
      <c r="A221" s="169"/>
      <c r="B221" s="169"/>
      <c r="C221" s="169"/>
      <c r="D221" s="169"/>
      <c r="E221" s="169"/>
      <c r="F221" s="169"/>
      <c r="G221" s="169"/>
      <c r="H221" s="169"/>
      <c r="I221" s="169"/>
      <c r="J221" s="169"/>
      <c r="K221" s="169"/>
      <c r="L221" s="169"/>
      <c r="M221" s="169"/>
      <c r="N221" s="169"/>
      <c r="O221" s="169"/>
      <c r="P221" s="169"/>
      <c r="Q221" s="169"/>
      <c r="R221" s="169"/>
      <c r="S221" s="169"/>
      <c r="T221" s="169"/>
      <c r="U221" s="169"/>
      <c r="V221" s="169"/>
      <c r="W221" s="169"/>
      <c r="X221" s="169"/>
      <c r="Y221" s="169"/>
      <c r="Z221" s="169"/>
    </row>
    <row r="222" spans="1:26" ht="15.75" customHeight="1">
      <c r="A222" s="169"/>
      <c r="B222" s="169"/>
      <c r="C222" s="169"/>
      <c r="D222" s="169"/>
      <c r="E222" s="169"/>
      <c r="F222" s="169"/>
      <c r="G222" s="169"/>
      <c r="H222" s="169"/>
      <c r="I222" s="169"/>
      <c r="J222" s="169"/>
      <c r="K222" s="169"/>
      <c r="L222" s="169"/>
      <c r="M222" s="169"/>
      <c r="N222" s="169"/>
      <c r="O222" s="169"/>
      <c r="P222" s="169"/>
      <c r="Q222" s="169"/>
      <c r="R222" s="169"/>
      <c r="S222" s="169"/>
      <c r="T222" s="169"/>
      <c r="U222" s="169"/>
      <c r="V222" s="169"/>
      <c r="W222" s="169"/>
      <c r="X222" s="169"/>
      <c r="Y222" s="169"/>
      <c r="Z222" s="169"/>
    </row>
    <row r="223" spans="1:26" ht="15.75" customHeight="1">
      <c r="A223" s="169"/>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row>
    <row r="224" spans="1:26" ht="15.75" customHeight="1">
      <c r="A224" s="169"/>
      <c r="B224" s="169"/>
      <c r="C224" s="169"/>
      <c r="D224" s="169"/>
      <c r="E224" s="169"/>
      <c r="F224" s="169"/>
      <c r="G224" s="169"/>
      <c r="H224" s="169"/>
      <c r="I224" s="169"/>
      <c r="J224" s="169"/>
      <c r="K224" s="169"/>
      <c r="L224" s="169"/>
      <c r="M224" s="169"/>
      <c r="N224" s="169"/>
      <c r="O224" s="169"/>
      <c r="P224" s="169"/>
      <c r="Q224" s="169"/>
      <c r="R224" s="169"/>
      <c r="S224" s="169"/>
      <c r="T224" s="169"/>
      <c r="U224" s="169"/>
      <c r="V224" s="169"/>
      <c r="W224" s="169"/>
      <c r="X224" s="169"/>
      <c r="Y224" s="169"/>
      <c r="Z224" s="169"/>
    </row>
    <row r="225" spans="1:26" ht="15.75" customHeight="1">
      <c r="A225" s="169"/>
      <c r="B225" s="169"/>
      <c r="C225" s="169"/>
      <c r="D225" s="169"/>
      <c r="E225" s="169"/>
      <c r="F225" s="169"/>
      <c r="G225" s="169"/>
      <c r="H225" s="169"/>
      <c r="I225" s="169"/>
      <c r="J225" s="169"/>
      <c r="K225" s="169"/>
      <c r="L225" s="169"/>
      <c r="M225" s="169"/>
      <c r="N225" s="169"/>
      <c r="O225" s="169"/>
      <c r="P225" s="169"/>
      <c r="Q225" s="169"/>
      <c r="R225" s="169"/>
      <c r="S225" s="169"/>
      <c r="T225" s="169"/>
      <c r="U225" s="169"/>
      <c r="V225" s="169"/>
      <c r="W225" s="169"/>
      <c r="X225" s="169"/>
      <c r="Y225" s="169"/>
      <c r="Z225" s="169"/>
    </row>
    <row r="226" spans="1:26" ht="15.75" customHeight="1">
      <c r="A226" s="169"/>
      <c r="B226" s="169"/>
      <c r="C226" s="169"/>
      <c r="D226" s="169"/>
      <c r="E226" s="169"/>
      <c r="F226" s="169"/>
      <c r="G226" s="169"/>
      <c r="H226" s="169"/>
      <c r="I226" s="169"/>
      <c r="J226" s="169"/>
      <c r="K226" s="169"/>
      <c r="L226" s="169"/>
      <c r="M226" s="169"/>
      <c r="N226" s="169"/>
      <c r="O226" s="169"/>
      <c r="P226" s="169"/>
      <c r="Q226" s="169"/>
      <c r="R226" s="169"/>
      <c r="S226" s="169"/>
      <c r="T226" s="169"/>
      <c r="U226" s="169"/>
      <c r="V226" s="169"/>
      <c r="W226" s="169"/>
      <c r="X226" s="169"/>
      <c r="Y226" s="169"/>
      <c r="Z226" s="169"/>
    </row>
    <row r="227" spans="1:26" ht="15.75" customHeight="1">
      <c r="A227" s="169"/>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row>
    <row r="228" spans="1:26" ht="15.75" customHeight="1">
      <c r="A228" s="169"/>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row>
    <row r="229" spans="1:26" ht="15.75" customHeight="1">
      <c r="A229" s="169"/>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row>
    <row r="230" spans="1:26" ht="15.75" customHeight="1">
      <c r="A230" s="169"/>
      <c r="B230" s="169"/>
      <c r="C230" s="169"/>
      <c r="D230" s="169"/>
      <c r="E230" s="169"/>
      <c r="F230" s="169"/>
      <c r="G230" s="169"/>
      <c r="H230" s="169"/>
      <c r="I230" s="169"/>
      <c r="J230" s="169"/>
      <c r="K230" s="169"/>
      <c r="L230" s="169"/>
      <c r="M230" s="169"/>
      <c r="N230" s="169"/>
      <c r="O230" s="169"/>
      <c r="P230" s="169"/>
      <c r="Q230" s="169"/>
      <c r="R230" s="169"/>
      <c r="S230" s="169"/>
      <c r="T230" s="169"/>
      <c r="U230" s="169"/>
      <c r="V230" s="169"/>
      <c r="W230" s="169"/>
      <c r="X230" s="169"/>
      <c r="Y230" s="169"/>
      <c r="Z230" s="169"/>
    </row>
    <row r="231" spans="1:26" ht="15.75" customHeight="1">
      <c r="A231" s="169"/>
      <c r="B231" s="169"/>
      <c r="C231" s="169"/>
      <c r="D231" s="169"/>
      <c r="E231" s="169"/>
      <c r="F231" s="169"/>
      <c r="G231" s="169"/>
      <c r="H231" s="169"/>
      <c r="I231" s="169"/>
      <c r="J231" s="169"/>
      <c r="K231" s="169"/>
      <c r="L231" s="169"/>
      <c r="M231" s="169"/>
      <c r="N231" s="169"/>
      <c r="O231" s="169"/>
      <c r="P231" s="169"/>
      <c r="Q231" s="169"/>
      <c r="R231" s="169"/>
      <c r="S231" s="169"/>
      <c r="T231" s="169"/>
      <c r="U231" s="169"/>
      <c r="V231" s="169"/>
      <c r="W231" s="169"/>
      <c r="X231" s="169"/>
      <c r="Y231" s="169"/>
      <c r="Z231" s="169"/>
    </row>
    <row r="232" spans="1:26" ht="15.75" customHeight="1">
      <c r="A232" s="169"/>
      <c r="B232" s="169"/>
      <c r="C232" s="169"/>
      <c r="D232" s="169"/>
      <c r="E232" s="169"/>
      <c r="F232" s="169"/>
      <c r="G232" s="169"/>
      <c r="H232" s="169"/>
      <c r="I232" s="169"/>
      <c r="J232" s="169"/>
      <c r="K232" s="169"/>
      <c r="L232" s="169"/>
      <c r="M232" s="169"/>
      <c r="N232" s="169"/>
      <c r="O232" s="169"/>
      <c r="P232" s="169"/>
      <c r="Q232" s="169"/>
      <c r="R232" s="169"/>
      <c r="S232" s="169"/>
      <c r="T232" s="169"/>
      <c r="U232" s="169"/>
      <c r="V232" s="169"/>
      <c r="W232" s="169"/>
      <c r="X232" s="169"/>
      <c r="Y232" s="169"/>
      <c r="Z232" s="169"/>
    </row>
    <row r="233" spans="1:26" ht="15.75" customHeight="1">
      <c r="A233" s="169"/>
      <c r="B233" s="169"/>
      <c r="C233" s="169"/>
      <c r="D233" s="169"/>
      <c r="E233" s="169"/>
      <c r="F233" s="169"/>
      <c r="G233" s="169"/>
      <c r="H233" s="169"/>
      <c r="I233" s="169"/>
      <c r="J233" s="169"/>
      <c r="K233" s="169"/>
      <c r="L233" s="169"/>
      <c r="M233" s="169"/>
      <c r="N233" s="169"/>
      <c r="O233" s="169"/>
      <c r="P233" s="169"/>
      <c r="Q233" s="169"/>
      <c r="R233" s="169"/>
      <c r="S233" s="169"/>
      <c r="T233" s="169"/>
      <c r="U233" s="169"/>
      <c r="V233" s="169"/>
      <c r="W233" s="169"/>
      <c r="X233" s="169"/>
      <c r="Y233" s="169"/>
      <c r="Z233" s="169"/>
    </row>
    <row r="234" spans="1:26" ht="15.75" customHeight="1">
      <c r="A234" s="169"/>
      <c r="B234" s="169"/>
      <c r="C234" s="169"/>
      <c r="D234" s="169"/>
      <c r="E234" s="169"/>
      <c r="F234" s="169"/>
      <c r="G234" s="169"/>
      <c r="H234" s="169"/>
      <c r="I234" s="169"/>
      <c r="J234" s="169"/>
      <c r="K234" s="169"/>
      <c r="L234" s="169"/>
      <c r="M234" s="169"/>
      <c r="N234" s="169"/>
      <c r="O234" s="169"/>
      <c r="P234" s="169"/>
      <c r="Q234" s="169"/>
      <c r="R234" s="169"/>
      <c r="S234" s="169"/>
      <c r="T234" s="169"/>
      <c r="U234" s="169"/>
      <c r="V234" s="169"/>
      <c r="W234" s="169"/>
      <c r="X234" s="169"/>
      <c r="Y234" s="169"/>
      <c r="Z234" s="169"/>
    </row>
    <row r="235" spans="1:26" ht="15.75" customHeight="1">
      <c r="A235" s="169"/>
      <c r="B235" s="169"/>
      <c r="C235" s="169"/>
      <c r="D235" s="169"/>
      <c r="E235" s="169"/>
      <c r="F235" s="169"/>
      <c r="G235" s="169"/>
      <c r="H235" s="169"/>
      <c r="I235" s="169"/>
      <c r="J235" s="169"/>
      <c r="K235" s="169"/>
      <c r="L235" s="169"/>
      <c r="M235" s="169"/>
      <c r="N235" s="169"/>
      <c r="O235" s="169"/>
      <c r="P235" s="169"/>
      <c r="Q235" s="169"/>
      <c r="R235" s="169"/>
      <c r="S235" s="169"/>
      <c r="T235" s="169"/>
      <c r="U235" s="169"/>
      <c r="V235" s="169"/>
      <c r="W235" s="169"/>
      <c r="X235" s="169"/>
      <c r="Y235" s="169"/>
      <c r="Z235" s="169"/>
    </row>
    <row r="236" spans="1:26" ht="15.75" customHeight="1">
      <c r="A236" s="169"/>
      <c r="B236" s="169"/>
      <c r="C236" s="169"/>
      <c r="D236" s="169"/>
      <c r="E236" s="169"/>
      <c r="F236" s="169"/>
      <c r="G236" s="169"/>
      <c r="H236" s="169"/>
      <c r="I236" s="169"/>
      <c r="J236" s="169"/>
      <c r="K236" s="169"/>
      <c r="L236" s="169"/>
      <c r="M236" s="169"/>
      <c r="N236" s="169"/>
      <c r="O236" s="169"/>
      <c r="P236" s="169"/>
      <c r="Q236" s="169"/>
      <c r="R236" s="169"/>
      <c r="S236" s="169"/>
      <c r="T236" s="169"/>
      <c r="U236" s="169"/>
      <c r="V236" s="169"/>
      <c r="W236" s="169"/>
      <c r="X236" s="169"/>
      <c r="Y236" s="169"/>
      <c r="Z236" s="169"/>
    </row>
    <row r="237" spans="1:26" ht="15.75" customHeight="1">
      <c r="A237" s="169"/>
      <c r="B237" s="169"/>
      <c r="C237" s="169"/>
      <c r="D237" s="169"/>
      <c r="E237" s="169"/>
      <c r="F237" s="169"/>
      <c r="G237" s="169"/>
      <c r="H237" s="169"/>
      <c r="I237" s="169"/>
      <c r="J237" s="169"/>
      <c r="K237" s="169"/>
      <c r="L237" s="169"/>
      <c r="M237" s="169"/>
      <c r="N237" s="169"/>
      <c r="O237" s="169"/>
      <c r="P237" s="169"/>
      <c r="Q237" s="169"/>
      <c r="R237" s="169"/>
      <c r="S237" s="169"/>
      <c r="T237" s="169"/>
      <c r="U237" s="169"/>
      <c r="V237" s="169"/>
      <c r="W237" s="169"/>
      <c r="X237" s="169"/>
      <c r="Y237" s="169"/>
      <c r="Z237" s="169"/>
    </row>
    <row r="238" spans="1:26" ht="15.75" customHeight="1">
      <c r="A238" s="169"/>
      <c r="B238" s="169"/>
      <c r="C238" s="169"/>
      <c r="D238" s="169"/>
      <c r="E238" s="169"/>
      <c r="F238" s="169"/>
      <c r="G238" s="169"/>
      <c r="H238" s="169"/>
      <c r="I238" s="169"/>
      <c r="J238" s="169"/>
      <c r="K238" s="169"/>
      <c r="L238" s="169"/>
      <c r="M238" s="169"/>
      <c r="N238" s="169"/>
      <c r="O238" s="169"/>
      <c r="P238" s="169"/>
      <c r="Q238" s="169"/>
      <c r="R238" s="169"/>
      <c r="S238" s="169"/>
      <c r="T238" s="169"/>
      <c r="U238" s="169"/>
      <c r="V238" s="169"/>
      <c r="W238" s="169"/>
      <c r="X238" s="169"/>
      <c r="Y238" s="169"/>
      <c r="Z238" s="169"/>
    </row>
    <row r="239" spans="1:26" ht="15.75" customHeight="1">
      <c r="A239" s="169"/>
      <c r="B239" s="169"/>
      <c r="C239" s="169"/>
      <c r="D239" s="169"/>
      <c r="E239" s="169"/>
      <c r="F239" s="169"/>
      <c r="G239" s="169"/>
      <c r="H239" s="169"/>
      <c r="I239" s="169"/>
      <c r="J239" s="169"/>
      <c r="K239" s="169"/>
      <c r="L239" s="169"/>
      <c r="M239" s="169"/>
      <c r="N239" s="169"/>
      <c r="O239" s="169"/>
      <c r="P239" s="169"/>
      <c r="Q239" s="169"/>
      <c r="R239" s="169"/>
      <c r="S239" s="169"/>
      <c r="T239" s="169"/>
      <c r="U239" s="169"/>
      <c r="V239" s="169"/>
      <c r="W239" s="169"/>
      <c r="X239" s="169"/>
      <c r="Y239" s="169"/>
      <c r="Z239" s="169"/>
    </row>
    <row r="240" spans="1:26" ht="15.75" customHeight="1">
      <c r="A240" s="169"/>
      <c r="B240" s="169"/>
      <c r="C240" s="169"/>
      <c r="D240" s="169"/>
      <c r="E240" s="169"/>
      <c r="F240" s="169"/>
      <c r="G240" s="169"/>
      <c r="H240" s="169"/>
      <c r="I240" s="169"/>
      <c r="J240" s="169"/>
      <c r="K240" s="169"/>
      <c r="L240" s="169"/>
      <c r="M240" s="169"/>
      <c r="N240" s="169"/>
      <c r="O240" s="169"/>
      <c r="P240" s="169"/>
      <c r="Q240" s="169"/>
      <c r="R240" s="169"/>
      <c r="S240" s="169"/>
      <c r="T240" s="169"/>
      <c r="U240" s="169"/>
      <c r="V240" s="169"/>
      <c r="W240" s="169"/>
      <c r="X240" s="169"/>
      <c r="Y240" s="169"/>
      <c r="Z240" s="169"/>
    </row>
    <row r="241" spans="1:26" ht="15.75" customHeight="1">
      <c r="A241" s="169"/>
      <c r="B241" s="169"/>
      <c r="C241" s="169"/>
      <c r="D241" s="169"/>
      <c r="E241" s="169"/>
      <c r="F241" s="169"/>
      <c r="G241" s="169"/>
      <c r="H241" s="169"/>
      <c r="I241" s="169"/>
      <c r="J241" s="169"/>
      <c r="K241" s="169"/>
      <c r="L241" s="169"/>
      <c r="M241" s="169"/>
      <c r="N241" s="169"/>
      <c r="O241" s="169"/>
      <c r="P241" s="169"/>
      <c r="Q241" s="169"/>
      <c r="R241" s="169"/>
      <c r="S241" s="169"/>
      <c r="T241" s="169"/>
      <c r="U241" s="169"/>
      <c r="V241" s="169"/>
      <c r="W241" s="169"/>
      <c r="X241" s="169"/>
      <c r="Y241" s="169"/>
      <c r="Z241" s="169"/>
    </row>
    <row r="242" spans="1:26" ht="15.75" customHeight="1">
      <c r="A242" s="169"/>
      <c r="B242" s="169"/>
      <c r="C242" s="169"/>
      <c r="D242" s="169"/>
      <c r="E242" s="169"/>
      <c r="F242" s="169"/>
      <c r="G242" s="169"/>
      <c r="H242" s="169"/>
      <c r="I242" s="169"/>
      <c r="J242" s="169"/>
      <c r="K242" s="169"/>
      <c r="L242" s="169"/>
      <c r="M242" s="169"/>
      <c r="N242" s="169"/>
      <c r="O242" s="169"/>
      <c r="P242" s="169"/>
      <c r="Q242" s="169"/>
      <c r="R242" s="169"/>
      <c r="S242" s="169"/>
      <c r="T242" s="169"/>
      <c r="U242" s="169"/>
      <c r="V242" s="169"/>
      <c r="W242" s="169"/>
      <c r="X242" s="169"/>
      <c r="Y242" s="169"/>
      <c r="Z242" s="169"/>
    </row>
    <row r="243" spans="1:26" ht="15.75" customHeight="1">
      <c r="A243" s="169"/>
      <c r="B243" s="169"/>
      <c r="C243" s="169"/>
      <c r="D243" s="169"/>
      <c r="E243" s="169"/>
      <c r="F243" s="169"/>
      <c r="G243" s="169"/>
      <c r="H243" s="169"/>
      <c r="I243" s="169"/>
      <c r="J243" s="169"/>
      <c r="K243" s="169"/>
      <c r="L243" s="169"/>
      <c r="M243" s="169"/>
      <c r="N243" s="169"/>
      <c r="O243" s="169"/>
      <c r="P243" s="169"/>
      <c r="Q243" s="169"/>
      <c r="R243" s="169"/>
      <c r="S243" s="169"/>
      <c r="T243" s="169"/>
      <c r="U243" s="169"/>
      <c r="V243" s="169"/>
      <c r="W243" s="169"/>
      <c r="X243" s="169"/>
      <c r="Y243" s="169"/>
      <c r="Z243" s="169"/>
    </row>
    <row r="244" spans="1:26" ht="15.75" customHeight="1">
      <c r="A244" s="169"/>
      <c r="B244" s="169"/>
      <c r="C244" s="169"/>
      <c r="D244" s="169"/>
      <c r="E244" s="169"/>
      <c r="F244" s="169"/>
      <c r="G244" s="169"/>
      <c r="H244" s="169"/>
      <c r="I244" s="169"/>
      <c r="J244" s="169"/>
      <c r="K244" s="169"/>
      <c r="L244" s="169"/>
      <c r="M244" s="169"/>
      <c r="N244" s="169"/>
      <c r="O244" s="169"/>
      <c r="P244" s="169"/>
      <c r="Q244" s="169"/>
      <c r="R244" s="169"/>
      <c r="S244" s="169"/>
      <c r="T244" s="169"/>
      <c r="U244" s="169"/>
      <c r="V244" s="169"/>
      <c r="W244" s="169"/>
      <c r="X244" s="169"/>
      <c r="Y244" s="169"/>
      <c r="Z244" s="169"/>
    </row>
    <row r="245" spans="1:26" ht="15.75" customHeight="1">
      <c r="A245" s="169"/>
      <c r="B245" s="169"/>
      <c r="C245" s="169"/>
      <c r="D245" s="169"/>
      <c r="E245" s="169"/>
      <c r="F245" s="169"/>
      <c r="G245" s="169"/>
      <c r="H245" s="169"/>
      <c r="I245" s="169"/>
      <c r="J245" s="169"/>
      <c r="K245" s="169"/>
      <c r="L245" s="169"/>
      <c r="M245" s="169"/>
      <c r="N245" s="169"/>
      <c r="O245" s="169"/>
      <c r="P245" s="169"/>
      <c r="Q245" s="169"/>
      <c r="R245" s="169"/>
      <c r="S245" s="169"/>
      <c r="T245" s="169"/>
      <c r="U245" s="169"/>
      <c r="V245" s="169"/>
      <c r="W245" s="169"/>
      <c r="X245" s="169"/>
      <c r="Y245" s="169"/>
      <c r="Z245" s="169"/>
    </row>
    <row r="246" spans="1:26" ht="15.75" customHeight="1">
      <c r="A246" s="169"/>
      <c r="B246" s="169"/>
      <c r="C246" s="169"/>
      <c r="D246" s="169"/>
      <c r="E246" s="169"/>
      <c r="F246" s="169"/>
      <c r="G246" s="169"/>
      <c r="H246" s="169"/>
      <c r="I246" s="169"/>
      <c r="J246" s="169"/>
      <c r="K246" s="169"/>
      <c r="L246" s="169"/>
      <c r="M246" s="169"/>
      <c r="N246" s="169"/>
      <c r="O246" s="169"/>
      <c r="P246" s="169"/>
      <c r="Q246" s="169"/>
      <c r="R246" s="169"/>
      <c r="S246" s="169"/>
      <c r="T246" s="169"/>
      <c r="U246" s="169"/>
      <c r="V246" s="169"/>
      <c r="W246" s="169"/>
      <c r="X246" s="169"/>
      <c r="Y246" s="169"/>
      <c r="Z246" s="169"/>
    </row>
    <row r="247" spans="1:26" ht="15.75" customHeight="1">
      <c r="A247" s="169"/>
      <c r="B247" s="169"/>
      <c r="C247" s="169"/>
      <c r="D247" s="169"/>
      <c r="E247" s="169"/>
      <c r="F247" s="169"/>
      <c r="G247" s="169"/>
      <c r="H247" s="169"/>
      <c r="I247" s="169"/>
      <c r="J247" s="169"/>
      <c r="K247" s="169"/>
      <c r="L247" s="169"/>
      <c r="M247" s="169"/>
      <c r="N247" s="169"/>
      <c r="O247" s="169"/>
      <c r="P247" s="169"/>
      <c r="Q247" s="169"/>
      <c r="R247" s="169"/>
      <c r="S247" s="169"/>
      <c r="T247" s="169"/>
      <c r="U247" s="169"/>
      <c r="V247" s="169"/>
      <c r="W247" s="169"/>
      <c r="X247" s="169"/>
      <c r="Y247" s="169"/>
      <c r="Z247" s="169"/>
    </row>
    <row r="248" spans="1:26" ht="15.75" customHeight="1">
      <c r="A248" s="169"/>
      <c r="B248" s="169"/>
      <c r="C248" s="169"/>
      <c r="D248" s="169"/>
      <c r="E248" s="169"/>
      <c r="F248" s="169"/>
      <c r="G248" s="169"/>
      <c r="H248" s="169"/>
      <c r="I248" s="169"/>
      <c r="J248" s="169"/>
      <c r="K248" s="169"/>
      <c r="L248" s="169"/>
      <c r="M248" s="169"/>
      <c r="N248" s="169"/>
      <c r="O248" s="169"/>
      <c r="P248" s="169"/>
      <c r="Q248" s="169"/>
      <c r="R248" s="169"/>
      <c r="S248" s="169"/>
      <c r="T248" s="169"/>
      <c r="U248" s="169"/>
      <c r="V248" s="169"/>
      <c r="W248" s="169"/>
      <c r="X248" s="169"/>
      <c r="Y248" s="169"/>
      <c r="Z248" s="169"/>
    </row>
    <row r="249" spans="1:26" ht="15.75" customHeight="1">
      <c r="A249" s="169"/>
      <c r="B249" s="169"/>
      <c r="C249" s="169"/>
      <c r="D249" s="169"/>
      <c r="E249" s="169"/>
      <c r="F249" s="169"/>
      <c r="G249" s="169"/>
      <c r="H249" s="169"/>
      <c r="I249" s="169"/>
      <c r="J249" s="169"/>
      <c r="K249" s="169"/>
      <c r="L249" s="169"/>
      <c r="M249" s="169"/>
      <c r="N249" s="169"/>
      <c r="O249" s="169"/>
      <c r="P249" s="169"/>
      <c r="Q249" s="169"/>
      <c r="R249" s="169"/>
      <c r="S249" s="169"/>
      <c r="T249" s="169"/>
      <c r="U249" s="169"/>
      <c r="V249" s="169"/>
      <c r="W249" s="169"/>
      <c r="X249" s="169"/>
      <c r="Y249" s="169"/>
      <c r="Z249" s="169"/>
    </row>
    <row r="250" spans="1:26" ht="15.75" customHeight="1">
      <c r="A250" s="169"/>
      <c r="B250" s="169"/>
      <c r="C250" s="169"/>
      <c r="D250" s="169"/>
      <c r="E250" s="169"/>
      <c r="F250" s="169"/>
      <c r="G250" s="169"/>
      <c r="H250" s="169"/>
      <c r="I250" s="169"/>
      <c r="J250" s="169"/>
      <c r="K250" s="169"/>
      <c r="L250" s="169"/>
      <c r="M250" s="169"/>
      <c r="N250" s="169"/>
      <c r="O250" s="169"/>
      <c r="P250" s="169"/>
      <c r="Q250" s="169"/>
      <c r="R250" s="169"/>
      <c r="S250" s="169"/>
      <c r="T250" s="169"/>
      <c r="U250" s="169"/>
      <c r="V250" s="169"/>
      <c r="W250" s="169"/>
      <c r="X250" s="169"/>
      <c r="Y250" s="169"/>
      <c r="Z250" s="169"/>
    </row>
    <row r="251" spans="1:26" ht="15.75" customHeight="1">
      <c r="A251" s="169"/>
      <c r="B251" s="169"/>
      <c r="C251" s="169"/>
      <c r="D251" s="169"/>
      <c r="E251" s="169"/>
      <c r="F251" s="169"/>
      <c r="G251" s="169"/>
      <c r="H251" s="169"/>
      <c r="I251" s="169"/>
      <c r="J251" s="169"/>
      <c r="K251" s="169"/>
      <c r="L251" s="169"/>
      <c r="M251" s="169"/>
      <c r="N251" s="169"/>
      <c r="O251" s="169"/>
      <c r="P251" s="169"/>
      <c r="Q251" s="169"/>
      <c r="R251" s="169"/>
      <c r="S251" s="169"/>
      <c r="T251" s="169"/>
      <c r="U251" s="169"/>
      <c r="V251" s="169"/>
      <c r="W251" s="169"/>
      <c r="X251" s="169"/>
      <c r="Y251" s="169"/>
      <c r="Z251" s="169"/>
    </row>
    <row r="252" spans="1:26" ht="15.75" customHeight="1">
      <c r="A252" s="169"/>
      <c r="B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row>
    <row r="253" spans="1:26" ht="15.75" customHeight="1">
      <c r="A253" s="169"/>
      <c r="B253" s="169"/>
      <c r="C253" s="169"/>
      <c r="D253" s="169"/>
      <c r="E253" s="169"/>
      <c r="F253" s="169"/>
      <c r="G253" s="169"/>
      <c r="H253" s="169"/>
      <c r="I253" s="169"/>
      <c r="J253" s="169"/>
      <c r="K253" s="169"/>
      <c r="L253" s="169"/>
      <c r="M253" s="169"/>
      <c r="N253" s="169"/>
      <c r="O253" s="169"/>
      <c r="P253" s="169"/>
      <c r="Q253" s="169"/>
      <c r="R253" s="169"/>
      <c r="S253" s="169"/>
      <c r="T253" s="169"/>
      <c r="U253" s="169"/>
      <c r="V253" s="169"/>
      <c r="W253" s="169"/>
      <c r="X253" s="169"/>
      <c r="Y253" s="169"/>
      <c r="Z253" s="169"/>
    </row>
    <row r="254" spans="1:26" ht="15.75" customHeight="1">
      <c r="A254" s="169"/>
      <c r="B254" s="169"/>
      <c r="C254" s="169"/>
      <c r="D254" s="169"/>
      <c r="E254" s="169"/>
      <c r="F254" s="169"/>
      <c r="G254" s="169"/>
      <c r="H254" s="169"/>
      <c r="I254" s="169"/>
      <c r="J254" s="169"/>
      <c r="K254" s="169"/>
      <c r="L254" s="169"/>
      <c r="M254" s="169"/>
      <c r="N254" s="169"/>
      <c r="O254" s="169"/>
      <c r="P254" s="169"/>
      <c r="Q254" s="169"/>
      <c r="R254" s="169"/>
      <c r="S254" s="169"/>
      <c r="T254" s="169"/>
      <c r="U254" s="169"/>
      <c r="V254" s="169"/>
      <c r="W254" s="169"/>
      <c r="X254" s="169"/>
      <c r="Y254" s="169"/>
      <c r="Z254" s="169"/>
    </row>
    <row r="255" spans="1:26" ht="15.75" customHeight="1">
      <c r="A255" s="169"/>
      <c r="B255" s="169"/>
      <c r="C255" s="169"/>
      <c r="D255" s="169"/>
      <c r="E255" s="169"/>
      <c r="F255" s="169"/>
      <c r="G255" s="169"/>
      <c r="H255" s="169"/>
      <c r="I255" s="169"/>
      <c r="J255" s="169"/>
      <c r="K255" s="169"/>
      <c r="L255" s="169"/>
      <c r="M255" s="169"/>
      <c r="N255" s="169"/>
      <c r="O255" s="169"/>
      <c r="P255" s="169"/>
      <c r="Q255" s="169"/>
      <c r="R255" s="169"/>
      <c r="S255" s="169"/>
      <c r="T255" s="169"/>
      <c r="U255" s="169"/>
      <c r="V255" s="169"/>
      <c r="W255" s="169"/>
      <c r="X255" s="169"/>
      <c r="Y255" s="169"/>
      <c r="Z255" s="169"/>
    </row>
    <row r="256" spans="1:26" ht="15.75" customHeight="1">
      <c r="A256" s="169"/>
      <c r="B256" s="169"/>
      <c r="C256" s="169"/>
      <c r="D256" s="169"/>
      <c r="E256" s="169"/>
      <c r="F256" s="169"/>
      <c r="G256" s="169"/>
      <c r="H256" s="169"/>
      <c r="I256" s="169"/>
      <c r="J256" s="169"/>
      <c r="K256" s="169"/>
      <c r="L256" s="169"/>
      <c r="M256" s="169"/>
      <c r="N256" s="169"/>
      <c r="O256" s="169"/>
      <c r="P256" s="169"/>
      <c r="Q256" s="169"/>
      <c r="R256" s="169"/>
      <c r="S256" s="169"/>
      <c r="T256" s="169"/>
      <c r="U256" s="169"/>
      <c r="V256" s="169"/>
      <c r="W256" s="169"/>
      <c r="X256" s="169"/>
      <c r="Y256" s="169"/>
      <c r="Z256" s="169"/>
    </row>
    <row r="257" spans="1:26" ht="15.75" customHeight="1">
      <c r="A257" s="169"/>
      <c r="B257" s="169"/>
      <c r="C257" s="169"/>
      <c r="D257" s="169"/>
      <c r="E257" s="169"/>
      <c r="F257" s="169"/>
      <c r="G257" s="169"/>
      <c r="H257" s="169"/>
      <c r="I257" s="169"/>
      <c r="J257" s="169"/>
      <c r="K257" s="169"/>
      <c r="L257" s="169"/>
      <c r="M257" s="169"/>
      <c r="N257" s="169"/>
      <c r="O257" s="169"/>
      <c r="P257" s="169"/>
      <c r="Q257" s="169"/>
      <c r="R257" s="169"/>
      <c r="S257" s="169"/>
      <c r="T257" s="169"/>
      <c r="U257" s="169"/>
      <c r="V257" s="169"/>
      <c r="W257" s="169"/>
      <c r="X257" s="169"/>
      <c r="Y257" s="169"/>
      <c r="Z257" s="169"/>
    </row>
    <row r="258" spans="1:26" ht="15.75" customHeight="1">
      <c r="A258" s="169"/>
      <c r="B258" s="169"/>
      <c r="C258" s="169"/>
      <c r="D258" s="169"/>
      <c r="E258" s="169"/>
      <c r="F258" s="169"/>
      <c r="G258" s="169"/>
      <c r="H258" s="169"/>
      <c r="I258" s="169"/>
      <c r="J258" s="169"/>
      <c r="K258" s="169"/>
      <c r="L258" s="169"/>
      <c r="M258" s="169"/>
      <c r="N258" s="169"/>
      <c r="O258" s="169"/>
      <c r="P258" s="169"/>
      <c r="Q258" s="169"/>
      <c r="R258" s="169"/>
      <c r="S258" s="169"/>
      <c r="T258" s="169"/>
      <c r="U258" s="169"/>
      <c r="V258" s="169"/>
      <c r="W258" s="169"/>
      <c r="X258" s="169"/>
      <c r="Y258" s="169"/>
      <c r="Z258" s="169"/>
    </row>
    <row r="259" spans="1:26" ht="15.75" customHeight="1">
      <c r="A259" s="169"/>
      <c r="B259" s="169"/>
      <c r="C259" s="169"/>
      <c r="D259" s="169"/>
      <c r="E259" s="169"/>
      <c r="F259" s="169"/>
      <c r="G259" s="169"/>
      <c r="H259" s="169"/>
      <c r="I259" s="169"/>
      <c r="J259" s="169"/>
      <c r="K259" s="169"/>
      <c r="L259" s="169"/>
      <c r="M259" s="169"/>
      <c r="N259" s="169"/>
      <c r="O259" s="169"/>
      <c r="P259" s="169"/>
      <c r="Q259" s="169"/>
      <c r="R259" s="169"/>
      <c r="S259" s="169"/>
      <c r="T259" s="169"/>
      <c r="U259" s="169"/>
      <c r="V259" s="169"/>
      <c r="W259" s="169"/>
      <c r="X259" s="169"/>
      <c r="Y259" s="169"/>
      <c r="Z259" s="169"/>
    </row>
    <row r="260" spans="1:26" ht="15.75" customHeight="1">
      <c r="A260" s="169"/>
      <c r="B260" s="169"/>
      <c r="C260" s="169"/>
      <c r="D260" s="169"/>
      <c r="E260" s="169"/>
      <c r="F260" s="169"/>
      <c r="G260" s="169"/>
      <c r="H260" s="169"/>
      <c r="I260" s="169"/>
      <c r="J260" s="169"/>
      <c r="K260" s="169"/>
      <c r="L260" s="169"/>
      <c r="M260" s="169"/>
      <c r="N260" s="169"/>
      <c r="O260" s="169"/>
      <c r="P260" s="169"/>
      <c r="Q260" s="169"/>
      <c r="R260" s="169"/>
      <c r="S260" s="169"/>
      <c r="T260" s="169"/>
      <c r="U260" s="169"/>
      <c r="V260" s="169"/>
      <c r="W260" s="169"/>
      <c r="X260" s="169"/>
      <c r="Y260" s="169"/>
      <c r="Z260" s="169"/>
    </row>
    <row r="261" spans="1:26" ht="15.75" customHeight="1">
      <c r="A261" s="169"/>
      <c r="B261" s="169"/>
      <c r="C261" s="169"/>
      <c r="D261" s="169"/>
      <c r="E261" s="169"/>
      <c r="F261" s="169"/>
      <c r="G261" s="169"/>
      <c r="H261" s="169"/>
      <c r="I261" s="169"/>
      <c r="J261" s="169"/>
      <c r="K261" s="169"/>
      <c r="L261" s="169"/>
      <c r="M261" s="169"/>
      <c r="N261" s="169"/>
      <c r="O261" s="169"/>
      <c r="P261" s="169"/>
      <c r="Q261" s="169"/>
      <c r="R261" s="169"/>
      <c r="S261" s="169"/>
      <c r="T261" s="169"/>
      <c r="U261" s="169"/>
      <c r="V261" s="169"/>
      <c r="W261" s="169"/>
      <c r="X261" s="169"/>
      <c r="Y261" s="169"/>
      <c r="Z261" s="169"/>
    </row>
    <row r="262" spans="1:26" ht="15.75" customHeight="1">
      <c r="A262" s="169"/>
      <c r="B262" s="169"/>
      <c r="C262" s="169"/>
      <c r="D262" s="169"/>
      <c r="E262" s="169"/>
      <c r="F262" s="169"/>
      <c r="G262" s="169"/>
      <c r="H262" s="169"/>
      <c r="I262" s="169"/>
      <c r="J262" s="169"/>
      <c r="K262" s="169"/>
      <c r="L262" s="169"/>
      <c r="M262" s="169"/>
      <c r="N262" s="169"/>
      <c r="O262" s="169"/>
      <c r="P262" s="169"/>
      <c r="Q262" s="169"/>
      <c r="R262" s="169"/>
      <c r="S262" s="169"/>
      <c r="T262" s="169"/>
      <c r="U262" s="169"/>
      <c r="V262" s="169"/>
      <c r="W262" s="169"/>
      <c r="X262" s="169"/>
      <c r="Y262" s="169"/>
      <c r="Z262" s="169"/>
    </row>
    <row r="263" spans="1:26" ht="15.75" customHeight="1">
      <c r="A263" s="169"/>
      <c r="B263" s="169"/>
      <c r="C263" s="169"/>
      <c r="D263" s="169"/>
      <c r="E263" s="169"/>
      <c r="F263" s="169"/>
      <c r="G263" s="169"/>
      <c r="H263" s="169"/>
      <c r="I263" s="169"/>
      <c r="J263" s="169"/>
      <c r="K263" s="169"/>
      <c r="L263" s="169"/>
      <c r="M263" s="169"/>
      <c r="N263" s="169"/>
      <c r="O263" s="169"/>
      <c r="P263" s="169"/>
      <c r="Q263" s="169"/>
      <c r="R263" s="169"/>
      <c r="S263" s="169"/>
      <c r="T263" s="169"/>
      <c r="U263" s="169"/>
      <c r="V263" s="169"/>
      <c r="W263" s="169"/>
      <c r="X263" s="169"/>
      <c r="Y263" s="169"/>
      <c r="Z263" s="169"/>
    </row>
    <row r="264" spans="1:26" ht="15.75" customHeight="1">
      <c r="A264" s="169"/>
      <c r="B264" s="169"/>
      <c r="C264" s="169"/>
      <c r="D264" s="169"/>
      <c r="E264" s="169"/>
      <c r="F264" s="169"/>
      <c r="G264" s="169"/>
      <c r="H264" s="169"/>
      <c r="I264" s="169"/>
      <c r="J264" s="169"/>
      <c r="K264" s="169"/>
      <c r="L264" s="169"/>
      <c r="M264" s="169"/>
      <c r="N264" s="169"/>
      <c r="O264" s="169"/>
      <c r="P264" s="169"/>
      <c r="Q264" s="169"/>
      <c r="R264" s="169"/>
      <c r="S264" s="169"/>
      <c r="T264" s="169"/>
      <c r="U264" s="169"/>
      <c r="V264" s="169"/>
      <c r="W264" s="169"/>
      <c r="X264" s="169"/>
      <c r="Y264" s="169"/>
      <c r="Z264" s="169"/>
    </row>
    <row r="265" spans="1:26" ht="15.75" customHeight="1">
      <c r="A265" s="169"/>
      <c r="B265" s="169"/>
      <c r="C265" s="169"/>
      <c r="D265" s="169"/>
      <c r="E265" s="169"/>
      <c r="F265" s="169"/>
      <c r="G265" s="169"/>
      <c r="H265" s="169"/>
      <c r="I265" s="169"/>
      <c r="J265" s="169"/>
      <c r="K265" s="169"/>
      <c r="L265" s="169"/>
      <c r="M265" s="169"/>
      <c r="N265" s="169"/>
      <c r="O265" s="169"/>
      <c r="P265" s="169"/>
      <c r="Q265" s="169"/>
      <c r="R265" s="169"/>
      <c r="S265" s="169"/>
      <c r="T265" s="169"/>
      <c r="U265" s="169"/>
      <c r="V265" s="169"/>
      <c r="W265" s="169"/>
      <c r="X265" s="169"/>
      <c r="Y265" s="169"/>
      <c r="Z265" s="169"/>
    </row>
    <row r="266" spans="1:26" ht="15.75" customHeight="1">
      <c r="A266" s="169"/>
      <c r="B266" s="169"/>
      <c r="C266" s="169"/>
      <c r="D266" s="169"/>
      <c r="E266" s="169"/>
      <c r="F266" s="169"/>
      <c r="G266" s="169"/>
      <c r="H266" s="169"/>
      <c r="I266" s="169"/>
      <c r="J266" s="169"/>
      <c r="K266" s="169"/>
      <c r="L266" s="169"/>
      <c r="M266" s="169"/>
      <c r="N266" s="169"/>
      <c r="O266" s="169"/>
      <c r="P266" s="169"/>
      <c r="Q266" s="169"/>
      <c r="R266" s="169"/>
      <c r="S266" s="169"/>
      <c r="T266" s="169"/>
      <c r="U266" s="169"/>
      <c r="V266" s="169"/>
      <c r="W266" s="169"/>
      <c r="X266" s="169"/>
      <c r="Y266" s="169"/>
      <c r="Z266" s="169"/>
    </row>
    <row r="267" spans="1:26" ht="15.75" customHeight="1">
      <c r="A267" s="169"/>
      <c r="B267" s="169"/>
      <c r="C267" s="169"/>
      <c r="D267" s="169"/>
      <c r="E267" s="169"/>
      <c r="F267" s="169"/>
      <c r="G267" s="169"/>
      <c r="H267" s="169"/>
      <c r="I267" s="169"/>
      <c r="J267" s="169"/>
      <c r="K267" s="169"/>
      <c r="L267" s="169"/>
      <c r="M267" s="169"/>
      <c r="N267" s="169"/>
      <c r="O267" s="169"/>
      <c r="P267" s="169"/>
      <c r="Q267" s="169"/>
      <c r="R267" s="169"/>
      <c r="S267" s="169"/>
      <c r="T267" s="169"/>
      <c r="U267" s="169"/>
      <c r="V267" s="169"/>
      <c r="W267" s="169"/>
      <c r="X267" s="169"/>
      <c r="Y267" s="169"/>
      <c r="Z267" s="169"/>
    </row>
    <row r="268" spans="1:26" ht="15.75" customHeight="1">
      <c r="A268" s="169"/>
      <c r="B268" s="169"/>
      <c r="C268" s="169"/>
      <c r="D268" s="169"/>
      <c r="E268" s="169"/>
      <c r="F268" s="169"/>
      <c r="G268" s="169"/>
      <c r="H268" s="169"/>
      <c r="I268" s="169"/>
      <c r="J268" s="169"/>
      <c r="K268" s="169"/>
      <c r="L268" s="169"/>
      <c r="M268" s="169"/>
      <c r="N268" s="169"/>
      <c r="O268" s="169"/>
      <c r="P268" s="169"/>
      <c r="Q268" s="169"/>
      <c r="R268" s="169"/>
      <c r="S268" s="169"/>
      <c r="T268" s="169"/>
      <c r="U268" s="169"/>
      <c r="V268" s="169"/>
      <c r="W268" s="169"/>
      <c r="X268" s="169"/>
      <c r="Y268" s="169"/>
      <c r="Z268" s="169"/>
    </row>
    <row r="269" spans="1:26" ht="15.75" customHeight="1">
      <c r="A269" s="169"/>
      <c r="B269" s="169"/>
      <c r="C269" s="169"/>
      <c r="D269" s="169"/>
      <c r="E269" s="169"/>
      <c r="F269" s="169"/>
      <c r="G269" s="169"/>
      <c r="H269" s="169"/>
      <c r="I269" s="169"/>
      <c r="J269" s="169"/>
      <c r="K269" s="169"/>
      <c r="L269" s="169"/>
      <c r="M269" s="169"/>
      <c r="N269" s="169"/>
      <c r="O269" s="169"/>
      <c r="P269" s="169"/>
      <c r="Q269" s="169"/>
      <c r="R269" s="169"/>
      <c r="S269" s="169"/>
      <c r="T269" s="169"/>
      <c r="U269" s="169"/>
      <c r="V269" s="169"/>
      <c r="W269" s="169"/>
      <c r="X269" s="169"/>
      <c r="Y269" s="169"/>
      <c r="Z269" s="169"/>
    </row>
    <row r="270" spans="1:26" ht="15.75" customHeight="1">
      <c r="A270" s="169"/>
      <c r="B270" s="169"/>
      <c r="C270" s="169"/>
      <c r="D270" s="169"/>
      <c r="E270" s="169"/>
      <c r="F270" s="169"/>
      <c r="G270" s="169"/>
      <c r="H270" s="169"/>
      <c r="I270" s="169"/>
      <c r="J270" s="169"/>
      <c r="K270" s="169"/>
      <c r="L270" s="169"/>
      <c r="M270" s="169"/>
      <c r="N270" s="169"/>
      <c r="O270" s="169"/>
      <c r="P270" s="169"/>
      <c r="Q270" s="169"/>
      <c r="R270" s="169"/>
      <c r="S270" s="169"/>
      <c r="T270" s="169"/>
      <c r="U270" s="169"/>
      <c r="V270" s="169"/>
      <c r="W270" s="169"/>
      <c r="X270" s="169"/>
      <c r="Y270" s="169"/>
      <c r="Z270" s="169"/>
    </row>
    <row r="271" spans="1:26" ht="15.75" customHeight="1">
      <c r="A271" s="169"/>
      <c r="B271" s="169"/>
      <c r="C271" s="169"/>
      <c r="D271" s="169"/>
      <c r="E271" s="169"/>
      <c r="F271" s="169"/>
      <c r="G271" s="169"/>
      <c r="H271" s="169"/>
      <c r="I271" s="169"/>
      <c r="J271" s="169"/>
      <c r="K271" s="169"/>
      <c r="L271" s="169"/>
      <c r="M271" s="169"/>
      <c r="N271" s="169"/>
      <c r="O271" s="169"/>
      <c r="P271" s="169"/>
      <c r="Q271" s="169"/>
      <c r="R271" s="169"/>
      <c r="S271" s="169"/>
      <c r="T271" s="169"/>
      <c r="U271" s="169"/>
      <c r="V271" s="169"/>
      <c r="W271" s="169"/>
      <c r="X271" s="169"/>
      <c r="Y271" s="169"/>
      <c r="Z271" s="169"/>
    </row>
    <row r="272" spans="1:26" ht="15.75" customHeight="1">
      <c r="A272" s="169"/>
      <c r="B272" s="169"/>
      <c r="C272" s="169"/>
      <c r="D272" s="169"/>
      <c r="E272" s="169"/>
      <c r="F272" s="169"/>
      <c r="G272" s="169"/>
      <c r="H272" s="169"/>
      <c r="I272" s="169"/>
      <c r="J272" s="169"/>
      <c r="K272" s="169"/>
      <c r="L272" s="169"/>
      <c r="M272" s="169"/>
      <c r="N272" s="169"/>
      <c r="O272" s="169"/>
      <c r="P272" s="169"/>
      <c r="Q272" s="169"/>
      <c r="R272" s="169"/>
      <c r="S272" s="169"/>
      <c r="T272" s="169"/>
      <c r="U272" s="169"/>
      <c r="V272" s="169"/>
      <c r="W272" s="169"/>
      <c r="X272" s="169"/>
      <c r="Y272" s="169"/>
      <c r="Z272" s="169"/>
    </row>
    <row r="273" spans="1:26" ht="15.75" customHeight="1">
      <c r="A273" s="169"/>
      <c r="B273" s="169"/>
      <c r="C273" s="169"/>
      <c r="D273" s="169"/>
      <c r="E273" s="169"/>
      <c r="F273" s="169"/>
      <c r="G273" s="169"/>
      <c r="H273" s="169"/>
      <c r="I273" s="169"/>
      <c r="J273" s="169"/>
      <c r="K273" s="169"/>
      <c r="L273" s="169"/>
      <c r="M273" s="169"/>
      <c r="N273" s="169"/>
      <c r="O273" s="169"/>
      <c r="P273" s="169"/>
      <c r="Q273" s="169"/>
      <c r="R273" s="169"/>
      <c r="S273" s="169"/>
      <c r="T273" s="169"/>
      <c r="U273" s="169"/>
      <c r="V273" s="169"/>
      <c r="W273" s="169"/>
      <c r="X273" s="169"/>
      <c r="Y273" s="169"/>
      <c r="Z273" s="169"/>
    </row>
    <row r="274" spans="1:26" ht="15.75" customHeight="1">
      <c r="A274" s="169"/>
      <c r="B274" s="169"/>
      <c r="C274" s="169"/>
      <c r="D274" s="169"/>
      <c r="E274" s="169"/>
      <c r="F274" s="169"/>
      <c r="G274" s="169"/>
      <c r="H274" s="169"/>
      <c r="I274" s="169"/>
      <c r="J274" s="169"/>
      <c r="K274" s="169"/>
      <c r="L274" s="169"/>
      <c r="M274" s="169"/>
      <c r="N274" s="169"/>
      <c r="O274" s="169"/>
      <c r="P274" s="169"/>
      <c r="Q274" s="169"/>
      <c r="R274" s="169"/>
      <c r="S274" s="169"/>
      <c r="T274" s="169"/>
      <c r="U274" s="169"/>
      <c r="V274" s="169"/>
      <c r="W274" s="169"/>
      <c r="X274" s="169"/>
      <c r="Y274" s="169"/>
      <c r="Z274" s="169"/>
    </row>
    <row r="275" spans="1:26" ht="15.75" customHeight="1">
      <c r="A275" s="169"/>
      <c r="B275" s="169"/>
      <c r="C275" s="169"/>
      <c r="D275" s="169"/>
      <c r="E275" s="169"/>
      <c r="F275" s="169"/>
      <c r="G275" s="169"/>
      <c r="H275" s="169"/>
      <c r="I275" s="169"/>
      <c r="J275" s="169"/>
      <c r="K275" s="169"/>
      <c r="L275" s="169"/>
      <c r="M275" s="169"/>
      <c r="N275" s="169"/>
      <c r="O275" s="169"/>
      <c r="P275" s="169"/>
      <c r="Q275" s="169"/>
      <c r="R275" s="169"/>
      <c r="S275" s="169"/>
      <c r="T275" s="169"/>
      <c r="U275" s="169"/>
      <c r="V275" s="169"/>
      <c r="W275" s="169"/>
      <c r="X275" s="169"/>
      <c r="Y275" s="169"/>
      <c r="Z275" s="169"/>
    </row>
    <row r="276" spans="1:26" ht="15.75" customHeight="1">
      <c r="A276" s="169"/>
      <c r="B276" s="169"/>
      <c r="C276" s="169"/>
      <c r="D276" s="169"/>
      <c r="E276" s="169"/>
      <c r="F276" s="169"/>
      <c r="G276" s="169"/>
      <c r="H276" s="169"/>
      <c r="I276" s="169"/>
      <c r="J276" s="169"/>
      <c r="K276" s="169"/>
      <c r="L276" s="169"/>
      <c r="M276" s="169"/>
      <c r="N276" s="169"/>
      <c r="O276" s="169"/>
      <c r="P276" s="169"/>
      <c r="Q276" s="169"/>
      <c r="R276" s="169"/>
      <c r="S276" s="169"/>
      <c r="T276" s="169"/>
      <c r="U276" s="169"/>
      <c r="V276" s="169"/>
      <c r="W276" s="169"/>
      <c r="X276" s="169"/>
      <c r="Y276" s="169"/>
      <c r="Z276" s="169"/>
    </row>
    <row r="277" spans="1:26" ht="15.75" customHeight="1">
      <c r="A277" s="169"/>
      <c r="B277" s="169"/>
      <c r="C277" s="169"/>
      <c r="D277" s="169"/>
      <c r="E277" s="169"/>
      <c r="F277" s="169"/>
      <c r="G277" s="169"/>
      <c r="H277" s="169"/>
      <c r="I277" s="169"/>
      <c r="J277" s="169"/>
      <c r="K277" s="169"/>
      <c r="L277" s="169"/>
      <c r="M277" s="169"/>
      <c r="N277" s="169"/>
      <c r="O277" s="169"/>
      <c r="P277" s="169"/>
      <c r="Q277" s="169"/>
      <c r="R277" s="169"/>
      <c r="S277" s="169"/>
      <c r="T277" s="169"/>
      <c r="U277" s="169"/>
      <c r="V277" s="169"/>
      <c r="W277" s="169"/>
      <c r="X277" s="169"/>
      <c r="Y277" s="169"/>
      <c r="Z277" s="169"/>
    </row>
    <row r="278" spans="1:26" ht="15.75" customHeight="1">
      <c r="A278" s="169"/>
      <c r="B278" s="169"/>
      <c r="C278" s="169"/>
      <c r="D278" s="169"/>
      <c r="E278" s="169"/>
      <c r="F278" s="169"/>
      <c r="G278" s="169"/>
      <c r="H278" s="169"/>
      <c r="I278" s="169"/>
      <c r="J278" s="169"/>
      <c r="K278" s="169"/>
      <c r="L278" s="169"/>
      <c r="M278" s="169"/>
      <c r="N278" s="169"/>
      <c r="O278" s="169"/>
      <c r="P278" s="169"/>
      <c r="Q278" s="169"/>
      <c r="R278" s="169"/>
      <c r="S278" s="169"/>
      <c r="T278" s="169"/>
      <c r="U278" s="169"/>
      <c r="V278" s="169"/>
      <c r="W278" s="169"/>
      <c r="X278" s="169"/>
      <c r="Y278" s="169"/>
      <c r="Z278" s="169"/>
    </row>
    <row r="279" spans="1:26" ht="15.75" customHeight="1">
      <c r="A279" s="169"/>
      <c r="B279" s="169"/>
      <c r="C279" s="169"/>
      <c r="D279" s="169"/>
      <c r="E279" s="169"/>
      <c r="F279" s="169"/>
      <c r="G279" s="169"/>
      <c r="H279" s="169"/>
      <c r="I279" s="169"/>
      <c r="J279" s="169"/>
      <c r="K279" s="169"/>
      <c r="L279" s="169"/>
      <c r="M279" s="169"/>
      <c r="N279" s="169"/>
      <c r="O279" s="169"/>
      <c r="P279" s="169"/>
      <c r="Q279" s="169"/>
      <c r="R279" s="169"/>
      <c r="S279" s="169"/>
      <c r="T279" s="169"/>
      <c r="U279" s="169"/>
      <c r="V279" s="169"/>
      <c r="W279" s="169"/>
      <c r="X279" s="169"/>
      <c r="Y279" s="169"/>
      <c r="Z279" s="169"/>
    </row>
    <row r="280" spans="1:26" ht="15.75" customHeight="1">
      <c r="A280" s="169"/>
      <c r="B280" s="169"/>
      <c r="C280" s="169"/>
      <c r="D280" s="169"/>
      <c r="E280" s="169"/>
      <c r="F280" s="169"/>
      <c r="G280" s="169"/>
      <c r="H280" s="169"/>
      <c r="I280" s="169"/>
      <c r="J280" s="169"/>
      <c r="K280" s="169"/>
      <c r="L280" s="169"/>
      <c r="M280" s="169"/>
      <c r="N280" s="169"/>
      <c r="O280" s="169"/>
      <c r="P280" s="169"/>
      <c r="Q280" s="169"/>
      <c r="R280" s="169"/>
      <c r="S280" s="169"/>
      <c r="T280" s="169"/>
      <c r="U280" s="169"/>
      <c r="V280" s="169"/>
      <c r="W280" s="169"/>
      <c r="X280" s="169"/>
      <c r="Y280" s="169"/>
      <c r="Z280" s="169"/>
    </row>
    <row r="281" spans="1:26" ht="15.75" customHeight="1">
      <c r="A281" s="169"/>
      <c r="B281" s="169"/>
      <c r="C281" s="169"/>
      <c r="D281" s="169"/>
      <c r="E281" s="169"/>
      <c r="F281" s="169"/>
      <c r="G281" s="169"/>
      <c r="H281" s="169"/>
      <c r="I281" s="169"/>
      <c r="J281" s="169"/>
      <c r="K281" s="169"/>
      <c r="L281" s="169"/>
      <c r="M281" s="169"/>
      <c r="N281" s="169"/>
      <c r="O281" s="169"/>
      <c r="P281" s="169"/>
      <c r="Q281" s="169"/>
      <c r="R281" s="169"/>
      <c r="S281" s="169"/>
      <c r="T281" s="169"/>
      <c r="U281" s="169"/>
      <c r="V281" s="169"/>
      <c r="W281" s="169"/>
      <c r="X281" s="169"/>
      <c r="Y281" s="169"/>
      <c r="Z281" s="169"/>
    </row>
    <row r="282" spans="1:26" ht="15.75" customHeight="1">
      <c r="A282" s="169"/>
      <c r="B282" s="169"/>
      <c r="C282" s="169"/>
      <c r="D282" s="169"/>
      <c r="E282" s="169"/>
      <c r="F282" s="169"/>
      <c r="G282" s="169"/>
      <c r="H282" s="169"/>
      <c r="I282" s="169"/>
      <c r="J282" s="169"/>
      <c r="K282" s="169"/>
      <c r="L282" s="169"/>
      <c r="M282" s="169"/>
      <c r="N282" s="169"/>
      <c r="O282" s="169"/>
      <c r="P282" s="169"/>
      <c r="Q282" s="169"/>
      <c r="R282" s="169"/>
      <c r="S282" s="169"/>
      <c r="T282" s="169"/>
      <c r="U282" s="169"/>
      <c r="V282" s="169"/>
      <c r="W282" s="169"/>
      <c r="X282" s="169"/>
      <c r="Y282" s="169"/>
      <c r="Z282" s="169"/>
    </row>
    <row r="283" spans="1:26" ht="15.75" customHeight="1">
      <c r="A283" s="169"/>
      <c r="B283" s="169"/>
      <c r="C283" s="169"/>
      <c r="D283" s="169"/>
      <c r="E283" s="169"/>
      <c r="F283" s="169"/>
      <c r="G283" s="169"/>
      <c r="H283" s="169"/>
      <c r="I283" s="169"/>
      <c r="J283" s="169"/>
      <c r="K283" s="169"/>
      <c r="L283" s="169"/>
      <c r="M283" s="169"/>
      <c r="N283" s="169"/>
      <c r="O283" s="169"/>
      <c r="P283" s="169"/>
      <c r="Q283" s="169"/>
      <c r="R283" s="169"/>
      <c r="S283" s="169"/>
      <c r="T283" s="169"/>
      <c r="U283" s="169"/>
      <c r="V283" s="169"/>
      <c r="W283" s="169"/>
      <c r="X283" s="169"/>
      <c r="Y283" s="169"/>
      <c r="Z283" s="169"/>
    </row>
    <row r="284" spans="1:26" ht="15.75" customHeight="1">
      <c r="A284" s="169"/>
      <c r="B284" s="169"/>
      <c r="C284" s="169"/>
      <c r="D284" s="169"/>
      <c r="E284" s="169"/>
      <c r="F284" s="169"/>
      <c r="G284" s="169"/>
      <c r="H284" s="169"/>
      <c r="I284" s="169"/>
      <c r="J284" s="169"/>
      <c r="K284" s="169"/>
      <c r="L284" s="169"/>
      <c r="M284" s="169"/>
      <c r="N284" s="169"/>
      <c r="O284" s="169"/>
      <c r="P284" s="169"/>
      <c r="Q284" s="169"/>
      <c r="R284" s="169"/>
      <c r="S284" s="169"/>
      <c r="T284" s="169"/>
      <c r="U284" s="169"/>
      <c r="V284" s="169"/>
      <c r="W284" s="169"/>
      <c r="X284" s="169"/>
      <c r="Y284" s="169"/>
      <c r="Z284" s="169"/>
    </row>
    <row r="285" spans="1:26" ht="15.75" customHeight="1"/>
    <row r="286" spans="1:26" ht="15.75" customHeight="1"/>
    <row r="287" spans="1:26" ht="15.75" customHeight="1"/>
    <row r="288" spans="1:26"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6" r:id="rId1"/>
    <hyperlink ref="J7" r:id="rId2"/>
    <hyperlink ref="J73" r:id="rId3"/>
    <hyperlink ref="J74" r:id="rId4"/>
    <hyperlink ref="J80" r:id="rId5"/>
    <hyperlink ref="I84" r:id="rId6"/>
  </hyperlinks>
  <pageMargins left="0.7" right="0.7" top="0.75" bottom="0.75" header="0" footer="0"/>
  <pageSetup orientation="landscape"/>
  <tableParts count="3">
    <tablePart r:id="rId7"/>
    <tablePart r:id="rId8"/>
    <tablePart r:id="rId9"/>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1000"/>
  <sheetViews>
    <sheetView workbookViewId="0"/>
  </sheetViews>
  <sheetFormatPr defaultColWidth="14.44140625" defaultRowHeight="15" customHeight="1"/>
  <cols>
    <col min="1" max="1" width="115.5546875" customWidth="1"/>
    <col min="2" max="2" width="21.33203125" customWidth="1"/>
    <col min="3" max="3" width="20.5546875" customWidth="1"/>
    <col min="4" max="4" width="19.88671875" customWidth="1"/>
    <col min="5" max="5" width="20" customWidth="1"/>
    <col min="6" max="6" width="21.6640625" customWidth="1"/>
  </cols>
  <sheetData>
    <row r="1" spans="1:1" ht="17.399999999999999">
      <c r="A1" s="189" t="s">
        <v>442</v>
      </c>
    </row>
    <row r="2" spans="1:1" ht="17.399999999999999">
      <c r="A2" s="190" t="s">
        <v>443</v>
      </c>
    </row>
    <row r="3" spans="1:1" ht="15.6">
      <c r="A3" s="186" t="s">
        <v>444</v>
      </c>
    </row>
    <row r="4" spans="1:1" ht="14.4">
      <c r="A4" s="66" t="s">
        <v>445</v>
      </c>
    </row>
    <row r="5" spans="1:1" ht="14.4">
      <c r="A5" s="66" t="s">
        <v>446</v>
      </c>
    </row>
    <row r="6" spans="1:1" ht="14.4">
      <c r="A6" s="66" t="s">
        <v>447</v>
      </c>
    </row>
    <row r="7" spans="1:1" ht="14.4">
      <c r="A7" s="66" t="s">
        <v>448</v>
      </c>
    </row>
    <row r="8" spans="1:1" ht="14.4">
      <c r="A8" s="66" t="s">
        <v>449</v>
      </c>
    </row>
    <row r="9" spans="1:1" ht="14.4">
      <c r="A9" s="66" t="s">
        <v>450</v>
      </c>
    </row>
    <row r="10" spans="1:1" ht="14.4">
      <c r="A10" s="66" t="s">
        <v>451</v>
      </c>
    </row>
    <row r="11" spans="1:1" ht="14.4">
      <c r="A11" s="66" t="s">
        <v>452</v>
      </c>
    </row>
    <row r="12" spans="1:1" ht="14.4">
      <c r="A12" s="66" t="s">
        <v>453</v>
      </c>
    </row>
    <row r="13" spans="1:1" ht="14.4">
      <c r="A13" s="67" t="s">
        <v>454</v>
      </c>
    </row>
    <row r="14" spans="1:1" ht="14.4">
      <c r="A14" s="66" t="s">
        <v>455</v>
      </c>
    </row>
    <row r="15" spans="1:1" ht="14.4">
      <c r="A15" s="66" t="s">
        <v>456</v>
      </c>
    </row>
    <row r="16" spans="1:1" ht="14.4">
      <c r="A16" s="66" t="s">
        <v>457</v>
      </c>
    </row>
    <row r="17" spans="1:1" ht="14.4">
      <c r="A17" s="66" t="s">
        <v>458</v>
      </c>
    </row>
    <row r="19" spans="1:1" ht="17.399999999999999">
      <c r="A19" s="189" t="s">
        <v>459</v>
      </c>
    </row>
    <row r="20" spans="1:1" ht="17.399999999999999">
      <c r="A20" s="190" t="s">
        <v>460</v>
      </c>
    </row>
    <row r="21" spans="1:1" ht="15.75" customHeight="1">
      <c r="A21" s="186" t="s">
        <v>444</v>
      </c>
    </row>
    <row r="22" spans="1:1" ht="15.75" customHeight="1">
      <c r="A22" s="66" t="s">
        <v>445</v>
      </c>
    </row>
    <row r="23" spans="1:1" ht="15.75" customHeight="1">
      <c r="A23" s="66" t="s">
        <v>446</v>
      </c>
    </row>
    <row r="24" spans="1:1" ht="15.75" customHeight="1">
      <c r="A24" s="66" t="s">
        <v>447</v>
      </c>
    </row>
    <row r="25" spans="1:1" ht="15.75" customHeight="1">
      <c r="A25" s="66" t="s">
        <v>448</v>
      </c>
    </row>
    <row r="26" spans="1:1" ht="15.75" customHeight="1">
      <c r="A26" s="66" t="s">
        <v>449</v>
      </c>
    </row>
    <row r="27" spans="1:1" ht="15.75" customHeight="1">
      <c r="A27" s="66" t="s">
        <v>450</v>
      </c>
    </row>
    <row r="28" spans="1:1" ht="15.75" customHeight="1">
      <c r="A28" s="66" t="s">
        <v>451</v>
      </c>
    </row>
    <row r="29" spans="1:1" ht="15.75" customHeight="1">
      <c r="A29" s="66" t="s">
        <v>452</v>
      </c>
    </row>
    <row r="30" spans="1:1" ht="15.75" customHeight="1">
      <c r="A30" s="66" t="s">
        <v>453</v>
      </c>
    </row>
    <row r="31" spans="1:1" ht="15.75" customHeight="1">
      <c r="A31" s="67" t="s">
        <v>454</v>
      </c>
    </row>
    <row r="32" spans="1:1" ht="15.75" customHeight="1">
      <c r="A32" s="66" t="s">
        <v>461</v>
      </c>
    </row>
    <row r="33" spans="1:1" ht="15.75" customHeight="1">
      <c r="A33" s="66" t="s">
        <v>456</v>
      </c>
    </row>
    <row r="34" spans="1:1" ht="15.75" customHeight="1">
      <c r="A34" s="66" t="s">
        <v>457</v>
      </c>
    </row>
    <row r="35" spans="1:1" ht="15.75" customHeight="1">
      <c r="A35" s="66" t="s">
        <v>458</v>
      </c>
    </row>
    <row r="36" spans="1:1" ht="15.75" customHeight="1"/>
    <row r="37" spans="1:1" ht="15.75" customHeight="1">
      <c r="A37" s="189" t="s">
        <v>462</v>
      </c>
    </row>
    <row r="38" spans="1:1" ht="15.75" customHeight="1">
      <c r="A38" s="190" t="s">
        <v>463</v>
      </c>
    </row>
    <row r="39" spans="1:1" ht="15.75" customHeight="1">
      <c r="A39" s="186" t="s">
        <v>444</v>
      </c>
    </row>
    <row r="40" spans="1:1" ht="15.75" customHeight="1">
      <c r="A40" s="66" t="s">
        <v>464</v>
      </c>
    </row>
    <row r="41" spans="1:1" ht="15.75" customHeight="1">
      <c r="A41" s="66" t="s">
        <v>465</v>
      </c>
    </row>
    <row r="42" spans="1:1" ht="15.75" customHeight="1">
      <c r="A42" s="66" t="s">
        <v>466</v>
      </c>
    </row>
    <row r="43" spans="1:1" ht="15.75" customHeight="1">
      <c r="A43" s="66" t="s">
        <v>448</v>
      </c>
    </row>
    <row r="44" spans="1:1" ht="15.75" customHeight="1">
      <c r="A44" s="66" t="s">
        <v>449</v>
      </c>
    </row>
    <row r="45" spans="1:1" ht="15.75" customHeight="1">
      <c r="A45" s="66" t="s">
        <v>450</v>
      </c>
    </row>
    <row r="46" spans="1:1" ht="15.75" customHeight="1">
      <c r="A46" s="66" t="s">
        <v>467</v>
      </c>
    </row>
    <row r="47" spans="1:1" ht="15.75" customHeight="1">
      <c r="A47" s="66" t="s">
        <v>452</v>
      </c>
    </row>
    <row r="48" spans="1:1" ht="15.75" customHeight="1">
      <c r="A48" s="66" t="s">
        <v>468</v>
      </c>
    </row>
    <row r="49" spans="1:1" ht="15.75" customHeight="1">
      <c r="A49" s="67" t="s">
        <v>454</v>
      </c>
    </row>
    <row r="50" spans="1:1" ht="15.75" customHeight="1">
      <c r="A50" s="66" t="s">
        <v>461</v>
      </c>
    </row>
    <row r="51" spans="1:1" ht="15.75" customHeight="1">
      <c r="A51" s="66" t="s">
        <v>456</v>
      </c>
    </row>
    <row r="52" spans="1:1" ht="15.75" customHeight="1">
      <c r="A52" s="66" t="s">
        <v>469</v>
      </c>
    </row>
    <row r="53" spans="1:1" ht="15.75" customHeight="1">
      <c r="A53" s="66" t="s">
        <v>458</v>
      </c>
    </row>
    <row r="54" spans="1:1" ht="15.75" customHeight="1">
      <c r="A54" s="190" t="s">
        <v>470</v>
      </c>
    </row>
    <row r="55" spans="1:1" ht="15.75" customHeight="1">
      <c r="A55" s="66" t="s">
        <v>471</v>
      </c>
    </row>
    <row r="56" spans="1:1" ht="15.75" customHeight="1">
      <c r="A56" s="66" t="s">
        <v>472</v>
      </c>
    </row>
    <row r="57" spans="1:1" ht="15.75" customHeight="1">
      <c r="A57" s="66" t="s">
        <v>473</v>
      </c>
    </row>
    <row r="58" spans="1:1" ht="15.75" customHeight="1">
      <c r="A58" s="66" t="s">
        <v>474</v>
      </c>
    </row>
    <row r="59" spans="1:1" ht="15.75" customHeight="1">
      <c r="A59" s="66" t="s">
        <v>475</v>
      </c>
    </row>
    <row r="60" spans="1:1" ht="15.75" customHeight="1">
      <c r="A60" s="66" t="s">
        <v>476</v>
      </c>
    </row>
    <row r="61" spans="1:1" ht="15.75" customHeight="1">
      <c r="A61" s="66" t="s">
        <v>477</v>
      </c>
    </row>
    <row r="62" spans="1:1" ht="15.75" customHeight="1"/>
    <row r="63" spans="1:1" ht="15.75" customHeight="1"/>
    <row r="64" spans="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heetViews>
  <sheetFormatPr defaultColWidth="14.44140625" defaultRowHeight="15" customHeight="1"/>
  <cols>
    <col min="1" max="1" width="45.33203125" customWidth="1"/>
    <col min="2" max="2" width="221" customWidth="1"/>
    <col min="3" max="6" width="14.44140625" customWidth="1"/>
  </cols>
  <sheetData>
    <row r="1" spans="1:2" ht="17.399999999999999">
      <c r="A1" s="191" t="s">
        <v>478</v>
      </c>
      <c r="B1" s="192" t="s">
        <v>479</v>
      </c>
    </row>
    <row r="2" spans="1:2" ht="17.399999999999999">
      <c r="A2" s="193" t="s">
        <v>480</v>
      </c>
      <c r="B2" s="192" t="s">
        <v>481</v>
      </c>
    </row>
    <row r="3" spans="1:2" ht="17.399999999999999">
      <c r="A3" s="193" t="s">
        <v>482</v>
      </c>
      <c r="B3" s="190" t="s">
        <v>483</v>
      </c>
    </row>
    <row r="4" spans="1:2" ht="17.399999999999999">
      <c r="A4" s="193" t="s">
        <v>484</v>
      </c>
      <c r="B4" s="190" t="s">
        <v>485</v>
      </c>
    </row>
    <row r="5" spans="1:2" ht="17.399999999999999">
      <c r="A5" s="193" t="s">
        <v>486</v>
      </c>
      <c r="B5" s="190" t="s">
        <v>487</v>
      </c>
    </row>
    <row r="6" spans="1:2" ht="17.399999999999999">
      <c r="A6" s="193" t="s">
        <v>488</v>
      </c>
      <c r="B6" s="190" t="s">
        <v>489</v>
      </c>
    </row>
    <row r="7" spans="1:2" ht="17.399999999999999">
      <c r="A7" s="193" t="s">
        <v>490</v>
      </c>
      <c r="B7" s="190" t="s">
        <v>491</v>
      </c>
    </row>
    <row r="8" spans="1:2" ht="17.399999999999999">
      <c r="A8" s="193" t="s">
        <v>492</v>
      </c>
      <c r="B8" s="190" t="s">
        <v>493</v>
      </c>
    </row>
    <row r="9" spans="1:2" ht="17.399999999999999">
      <c r="A9" s="194" t="s">
        <v>494</v>
      </c>
      <c r="B9" s="195" t="s">
        <v>495</v>
      </c>
    </row>
    <row r="10" spans="1:2" ht="17.399999999999999">
      <c r="A10" s="196" t="s">
        <v>496</v>
      </c>
      <c r="B10" s="190" t="s">
        <v>497</v>
      </c>
    </row>
    <row r="11" spans="1:2" ht="17.399999999999999">
      <c r="A11" s="196" t="s">
        <v>498</v>
      </c>
      <c r="B11" s="190" t="s">
        <v>499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1000"/>
  <sheetViews>
    <sheetView workbookViewId="0"/>
  </sheetViews>
  <sheetFormatPr defaultColWidth="14.44140625" defaultRowHeight="15" customHeight="1"/>
  <cols>
    <col min="1" max="1" width="80.88671875" customWidth="1"/>
    <col min="2" max="2" width="17.5546875" customWidth="1"/>
    <col min="3" max="6" width="14.44140625" customWidth="1"/>
  </cols>
  <sheetData>
    <row r="1" spans="1:1" ht="14.4">
      <c r="A1" s="22" t="s">
        <v>500</v>
      </c>
    </row>
    <row r="2" spans="1:1" ht="14.4">
      <c r="A2" s="22" t="s">
        <v>501</v>
      </c>
    </row>
    <row r="3" spans="1:1" ht="14.4">
      <c r="A3" s="22" t="s">
        <v>502</v>
      </c>
    </row>
    <row r="4" spans="1:1" ht="14.4">
      <c r="A4" s="22" t="s">
        <v>503</v>
      </c>
    </row>
    <row r="5" spans="1:1" ht="14.4">
      <c r="A5" s="22" t="s">
        <v>504</v>
      </c>
    </row>
    <row r="7" spans="1:1" ht="14.4">
      <c r="A7" s="22" t="s">
        <v>505</v>
      </c>
    </row>
    <row r="8" spans="1:1" ht="14.4">
      <c r="A8" s="22" t="s">
        <v>506</v>
      </c>
    </row>
    <row r="9" spans="1:1" ht="14.4">
      <c r="A9" s="22" t="s">
        <v>507</v>
      </c>
    </row>
    <row r="10" spans="1:1" ht="14.4">
      <c r="A10" s="22" t="s">
        <v>508</v>
      </c>
    </row>
    <row r="12" spans="1:1" ht="14.4">
      <c r="A12" s="22" t="s">
        <v>509</v>
      </c>
    </row>
    <row r="13" spans="1:1" ht="14.4">
      <c r="A13" s="22" t="s">
        <v>510</v>
      </c>
    </row>
    <row r="14" spans="1:1" ht="14.4">
      <c r="A14" s="22" t="s">
        <v>511</v>
      </c>
    </row>
    <row r="15" spans="1:1" ht="14.4">
      <c r="A15" s="22" t="s">
        <v>512</v>
      </c>
    </row>
    <row r="16" spans="1:1" ht="14.4">
      <c r="A16" s="22" t="s">
        <v>513</v>
      </c>
    </row>
    <row r="18" spans="1:1" ht="14.4">
      <c r="A18" s="22" t="s">
        <v>514</v>
      </c>
    </row>
    <row r="19" spans="1:1" ht="14.4">
      <c r="A19" s="22" t="s">
        <v>515</v>
      </c>
    </row>
    <row r="20" spans="1:1" ht="14.4">
      <c r="A20" s="22" t="s">
        <v>516</v>
      </c>
    </row>
    <row r="21" spans="1:1" ht="15.75" customHeight="1">
      <c r="A21" s="22" t="s">
        <v>517</v>
      </c>
    </row>
    <row r="22" spans="1:1" ht="15.75" customHeight="1">
      <c r="A22" s="22" t="s">
        <v>518</v>
      </c>
    </row>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00"/>
  <sheetViews>
    <sheetView workbookViewId="0"/>
  </sheetViews>
  <sheetFormatPr defaultColWidth="14.44140625" defaultRowHeight="15" customHeight="1"/>
  <cols>
    <col min="1" max="1" width="87.109375" customWidth="1"/>
    <col min="2" max="2" width="20.33203125" customWidth="1"/>
    <col min="3" max="3" width="105.6640625" customWidth="1"/>
    <col min="4" max="4" width="14.88671875" customWidth="1"/>
    <col min="5" max="5" width="107.33203125" customWidth="1"/>
    <col min="6" max="6" width="8.6640625" customWidth="1"/>
    <col min="7" max="7" width="71.109375" customWidth="1"/>
    <col min="8" max="26" width="8.6640625" customWidth="1"/>
  </cols>
  <sheetData>
    <row r="1" spans="1:26" ht="19.5" customHeight="1">
      <c r="A1" s="22" t="s">
        <v>519</v>
      </c>
      <c r="B1" s="58"/>
      <c r="C1" s="197"/>
      <c r="E1" s="189" t="s">
        <v>442</v>
      </c>
      <c r="F1" s="58"/>
      <c r="G1" s="58" t="s">
        <v>520</v>
      </c>
      <c r="H1" s="58"/>
      <c r="I1" s="58"/>
      <c r="J1" s="58"/>
      <c r="K1" s="58"/>
      <c r="L1" s="58"/>
      <c r="M1" s="58"/>
      <c r="N1" s="58"/>
      <c r="O1" s="58"/>
      <c r="P1" s="58"/>
      <c r="Q1" s="58"/>
      <c r="R1" s="58"/>
      <c r="S1" s="58"/>
      <c r="T1" s="58"/>
      <c r="U1" s="58"/>
      <c r="V1" s="58"/>
      <c r="W1" s="58"/>
      <c r="X1" s="58"/>
      <c r="Y1" s="58"/>
      <c r="Z1" s="58"/>
    </row>
    <row r="2" spans="1:26" ht="19.5" customHeight="1">
      <c r="A2" s="190" t="s">
        <v>521</v>
      </c>
      <c r="B2" s="58"/>
      <c r="C2" s="198" t="s">
        <v>522</v>
      </c>
      <c r="D2" s="58"/>
      <c r="E2" s="190" t="s">
        <v>523</v>
      </c>
      <c r="F2" s="58"/>
      <c r="G2" s="58" t="s">
        <v>524</v>
      </c>
      <c r="H2" s="58"/>
      <c r="I2" s="58"/>
      <c r="J2" s="58"/>
      <c r="K2" s="58"/>
      <c r="L2" s="58"/>
      <c r="M2" s="58"/>
      <c r="N2" s="58"/>
      <c r="O2" s="58"/>
      <c r="P2" s="58"/>
      <c r="Q2" s="58"/>
      <c r="R2" s="58"/>
      <c r="S2" s="58"/>
      <c r="T2" s="58"/>
      <c r="U2" s="58"/>
      <c r="V2" s="58"/>
      <c r="W2" s="58"/>
      <c r="X2" s="58"/>
      <c r="Y2" s="58"/>
      <c r="Z2" s="58"/>
    </row>
    <row r="3" spans="1:26" ht="18">
      <c r="A3" s="190" t="s">
        <v>525</v>
      </c>
      <c r="B3" s="58"/>
      <c r="C3" s="190" t="s">
        <v>526</v>
      </c>
      <c r="D3" s="58"/>
      <c r="E3" s="185" t="s">
        <v>527</v>
      </c>
      <c r="F3" s="58"/>
      <c r="G3" s="58" t="s">
        <v>528</v>
      </c>
      <c r="H3" s="58"/>
      <c r="I3" s="58"/>
      <c r="J3" s="58"/>
      <c r="K3" s="58"/>
      <c r="L3" s="58"/>
      <c r="M3" s="58"/>
      <c r="N3" s="58"/>
      <c r="O3" s="58"/>
      <c r="P3" s="58"/>
      <c r="Q3" s="58"/>
      <c r="R3" s="58"/>
      <c r="S3" s="58"/>
      <c r="T3" s="58"/>
      <c r="U3" s="58"/>
      <c r="V3" s="58"/>
      <c r="W3" s="58"/>
      <c r="X3" s="58"/>
      <c r="Y3" s="58"/>
      <c r="Z3" s="58"/>
    </row>
    <row r="4" spans="1:26" ht="18">
      <c r="A4" s="190" t="s">
        <v>529</v>
      </c>
      <c r="B4" s="58"/>
      <c r="C4" s="58" t="s">
        <v>530</v>
      </c>
      <c r="D4" s="58"/>
      <c r="E4" s="190" t="s">
        <v>446</v>
      </c>
      <c r="F4" s="58"/>
      <c r="G4" s="58" t="s">
        <v>531</v>
      </c>
      <c r="H4" s="58"/>
      <c r="I4" s="58"/>
      <c r="J4" s="58"/>
      <c r="K4" s="58"/>
      <c r="L4" s="58"/>
      <c r="M4" s="58"/>
      <c r="N4" s="58"/>
      <c r="O4" s="58"/>
      <c r="P4" s="58"/>
      <c r="Q4" s="58"/>
      <c r="R4" s="58"/>
      <c r="S4" s="58"/>
      <c r="T4" s="58"/>
      <c r="U4" s="58"/>
      <c r="V4" s="58"/>
      <c r="W4" s="58"/>
      <c r="X4" s="58"/>
      <c r="Y4" s="58"/>
      <c r="Z4" s="58"/>
    </row>
    <row r="5" spans="1:26" ht="18">
      <c r="A5" s="190" t="s">
        <v>532</v>
      </c>
      <c r="B5" s="58"/>
      <c r="C5" s="58" t="s">
        <v>533</v>
      </c>
      <c r="D5" s="58"/>
      <c r="E5" s="190" t="s">
        <v>447</v>
      </c>
      <c r="F5" s="58"/>
      <c r="G5" s="190" t="s">
        <v>534</v>
      </c>
      <c r="H5" s="58"/>
      <c r="I5" s="58"/>
      <c r="J5" s="58"/>
      <c r="K5" s="58"/>
      <c r="L5" s="58"/>
      <c r="M5" s="58"/>
      <c r="N5" s="58"/>
      <c r="O5" s="58"/>
      <c r="P5" s="58"/>
      <c r="Q5" s="58"/>
      <c r="R5" s="58"/>
      <c r="S5" s="58"/>
      <c r="T5" s="58"/>
      <c r="U5" s="58"/>
      <c r="V5" s="58"/>
      <c r="W5" s="58"/>
      <c r="X5" s="58"/>
      <c r="Y5" s="58"/>
      <c r="Z5" s="58"/>
    </row>
    <row r="6" spans="1:26" ht="18">
      <c r="A6" s="190" t="s">
        <v>535</v>
      </c>
      <c r="B6" s="58"/>
      <c r="C6" s="58" t="s">
        <v>536</v>
      </c>
      <c r="D6" s="58"/>
      <c r="E6" s="190" t="s">
        <v>448</v>
      </c>
      <c r="F6" s="58"/>
      <c r="G6" s="58" t="s">
        <v>537</v>
      </c>
      <c r="H6" s="58"/>
      <c r="I6" s="58"/>
      <c r="J6" s="58"/>
      <c r="K6" s="58"/>
      <c r="L6" s="58"/>
      <c r="M6" s="58"/>
      <c r="N6" s="58"/>
      <c r="O6" s="58"/>
      <c r="P6" s="58"/>
      <c r="Q6" s="58"/>
      <c r="R6" s="58"/>
      <c r="S6" s="58"/>
      <c r="T6" s="58"/>
      <c r="U6" s="58"/>
      <c r="V6" s="58"/>
      <c r="W6" s="58"/>
      <c r="X6" s="58"/>
      <c r="Y6" s="58"/>
      <c r="Z6" s="58"/>
    </row>
    <row r="7" spans="1:26" ht="18">
      <c r="A7" s="190" t="s">
        <v>538</v>
      </c>
      <c r="B7" s="58"/>
      <c r="C7" s="58" t="s">
        <v>539</v>
      </c>
      <c r="D7" s="58"/>
      <c r="E7" s="190" t="s">
        <v>540</v>
      </c>
      <c r="F7" s="58"/>
      <c r="G7" s="58"/>
      <c r="H7" s="58"/>
      <c r="I7" s="58"/>
      <c r="J7" s="58"/>
      <c r="K7" s="58"/>
      <c r="L7" s="58"/>
      <c r="M7" s="58"/>
      <c r="N7" s="58"/>
      <c r="O7" s="58"/>
      <c r="P7" s="58"/>
      <c r="Q7" s="58"/>
      <c r="R7" s="58"/>
      <c r="S7" s="58"/>
      <c r="T7" s="58"/>
      <c r="U7" s="58"/>
      <c r="V7" s="58"/>
      <c r="W7" s="58"/>
      <c r="X7" s="58"/>
      <c r="Y7" s="58"/>
      <c r="Z7" s="58"/>
    </row>
    <row r="8" spans="1:26" ht="18">
      <c r="A8" s="199" t="s">
        <v>519</v>
      </c>
      <c r="B8" s="58"/>
      <c r="C8" s="190" t="s">
        <v>541</v>
      </c>
      <c r="D8" s="58"/>
      <c r="E8" s="190" t="s">
        <v>542</v>
      </c>
      <c r="F8" s="58"/>
      <c r="G8" s="58" t="s">
        <v>543</v>
      </c>
      <c r="H8" s="58"/>
      <c r="I8" s="58"/>
      <c r="J8" s="58"/>
      <c r="K8" s="58"/>
      <c r="L8" s="58"/>
      <c r="M8" s="58"/>
      <c r="N8" s="58"/>
      <c r="O8" s="58"/>
      <c r="P8" s="58"/>
      <c r="Q8" s="58"/>
      <c r="R8" s="58"/>
      <c r="S8" s="58"/>
      <c r="T8" s="58"/>
      <c r="U8" s="58"/>
      <c r="V8" s="58"/>
      <c r="W8" s="58"/>
      <c r="X8" s="58"/>
      <c r="Y8" s="58"/>
      <c r="Z8" s="58"/>
    </row>
    <row r="9" spans="1:26" ht="18">
      <c r="B9" s="58"/>
      <c r="C9" s="58" t="s">
        <v>544</v>
      </c>
      <c r="D9" s="58"/>
      <c r="E9" s="190" t="s">
        <v>450</v>
      </c>
      <c r="F9" s="58"/>
      <c r="G9" s="58"/>
      <c r="H9" s="58"/>
      <c r="I9" s="58"/>
      <c r="J9" s="58"/>
      <c r="K9" s="58"/>
      <c r="L9" s="58"/>
      <c r="M9" s="58"/>
      <c r="N9" s="58"/>
      <c r="O9" s="58"/>
      <c r="P9" s="58"/>
      <c r="Q9" s="58"/>
      <c r="R9" s="58"/>
      <c r="S9" s="58"/>
      <c r="T9" s="58"/>
      <c r="U9" s="58"/>
      <c r="V9" s="58"/>
      <c r="W9" s="58"/>
      <c r="X9" s="58"/>
      <c r="Y9" s="58"/>
      <c r="Z9" s="58"/>
    </row>
    <row r="10" spans="1:26" ht="18">
      <c r="B10" s="58"/>
      <c r="C10" s="58"/>
      <c r="D10" s="58"/>
      <c r="E10" s="190" t="s">
        <v>451</v>
      </c>
      <c r="F10" s="58"/>
      <c r="G10" s="58" t="s">
        <v>545</v>
      </c>
      <c r="H10" s="58"/>
      <c r="I10" s="58"/>
      <c r="J10" s="58"/>
      <c r="K10" s="58"/>
      <c r="L10" s="58"/>
      <c r="M10" s="58"/>
      <c r="N10" s="58"/>
      <c r="O10" s="58"/>
      <c r="P10" s="58"/>
      <c r="Q10" s="58"/>
      <c r="R10" s="58"/>
      <c r="S10" s="58"/>
      <c r="T10" s="58"/>
      <c r="U10" s="58"/>
      <c r="V10" s="58"/>
      <c r="W10" s="58"/>
      <c r="X10" s="58"/>
      <c r="Y10" s="58"/>
      <c r="Z10" s="58"/>
    </row>
    <row r="11" spans="1:26" ht="18">
      <c r="A11" s="189" t="s">
        <v>546</v>
      </c>
      <c r="B11" s="58"/>
      <c r="C11" s="189" t="s">
        <v>547</v>
      </c>
      <c r="D11" s="58"/>
      <c r="E11" s="58" t="s">
        <v>548</v>
      </c>
      <c r="F11" s="58"/>
      <c r="G11" s="58" t="s">
        <v>549</v>
      </c>
      <c r="H11" s="58"/>
      <c r="I11" s="58"/>
      <c r="J11" s="58"/>
      <c r="K11" s="58"/>
      <c r="L11" s="58"/>
      <c r="M11" s="58"/>
      <c r="N11" s="58"/>
      <c r="O11" s="58"/>
      <c r="P11" s="58"/>
      <c r="Q11" s="58"/>
      <c r="R11" s="58"/>
      <c r="S11" s="58"/>
      <c r="T11" s="58"/>
      <c r="U11" s="58"/>
      <c r="V11" s="58"/>
      <c r="W11" s="58"/>
      <c r="X11" s="58"/>
      <c r="Y11" s="58"/>
      <c r="Z11" s="58"/>
    </row>
    <row r="12" spans="1:26" ht="18">
      <c r="A12" s="200" t="s">
        <v>550</v>
      </c>
      <c r="B12" s="58"/>
      <c r="C12" s="58" t="s">
        <v>551</v>
      </c>
      <c r="D12" s="58"/>
      <c r="E12" s="190" t="s">
        <v>453</v>
      </c>
      <c r="F12" s="58"/>
      <c r="G12" s="58" t="s">
        <v>552</v>
      </c>
      <c r="H12" s="58"/>
      <c r="I12" s="58"/>
      <c r="J12" s="58"/>
      <c r="K12" s="58"/>
      <c r="L12" s="58"/>
      <c r="M12" s="58"/>
      <c r="N12" s="58"/>
      <c r="O12" s="58"/>
      <c r="P12" s="58"/>
      <c r="Q12" s="58"/>
      <c r="R12" s="58"/>
      <c r="S12" s="58"/>
      <c r="T12" s="58"/>
      <c r="U12" s="58"/>
      <c r="V12" s="58"/>
      <c r="W12" s="58"/>
      <c r="X12" s="58"/>
      <c r="Y12" s="58"/>
      <c r="Z12" s="58"/>
    </row>
    <row r="13" spans="1:26" ht="18">
      <c r="A13" s="200" t="s">
        <v>553</v>
      </c>
      <c r="B13" s="58"/>
      <c r="C13" s="58" t="s">
        <v>521</v>
      </c>
      <c r="D13" s="58"/>
      <c r="E13" s="201" t="s">
        <v>454</v>
      </c>
      <c r="F13" s="58"/>
      <c r="G13" s="58" t="s">
        <v>554</v>
      </c>
      <c r="H13" s="58"/>
      <c r="I13" s="58"/>
      <c r="J13" s="58"/>
      <c r="K13" s="58"/>
      <c r="L13" s="58"/>
      <c r="M13" s="58"/>
      <c r="N13" s="58"/>
      <c r="O13" s="58"/>
      <c r="P13" s="58"/>
      <c r="Q13" s="58"/>
      <c r="R13" s="58"/>
      <c r="S13" s="58"/>
      <c r="T13" s="58"/>
      <c r="U13" s="58"/>
      <c r="V13" s="58"/>
      <c r="W13" s="58"/>
      <c r="X13" s="58"/>
      <c r="Y13" s="58"/>
      <c r="Z13" s="58"/>
    </row>
    <row r="14" spans="1:26" ht="18">
      <c r="A14" s="200" t="s">
        <v>555</v>
      </c>
      <c r="B14" s="58"/>
      <c r="C14" s="58" t="s">
        <v>556</v>
      </c>
      <c r="D14" s="58"/>
      <c r="E14" s="190" t="s">
        <v>455</v>
      </c>
      <c r="F14" s="58"/>
      <c r="G14" s="58" t="s">
        <v>557</v>
      </c>
      <c r="H14" s="58"/>
      <c r="I14" s="58"/>
      <c r="J14" s="58"/>
      <c r="K14" s="58"/>
      <c r="L14" s="58"/>
      <c r="M14" s="58"/>
      <c r="N14" s="58"/>
      <c r="O14" s="58"/>
      <c r="P14" s="58"/>
      <c r="Q14" s="58"/>
      <c r="R14" s="58"/>
      <c r="S14" s="58"/>
      <c r="T14" s="58"/>
      <c r="U14" s="58"/>
      <c r="V14" s="58"/>
      <c r="W14" s="58"/>
      <c r="X14" s="58"/>
      <c r="Y14" s="58"/>
      <c r="Z14" s="58"/>
    </row>
    <row r="15" spans="1:26" ht="18">
      <c r="A15" s="189" t="s">
        <v>558</v>
      </c>
      <c r="B15" s="58"/>
      <c r="C15" s="58" t="s">
        <v>529</v>
      </c>
      <c r="D15" s="58"/>
      <c r="E15" s="190" t="s">
        <v>456</v>
      </c>
      <c r="F15" s="58"/>
      <c r="G15" s="58" t="s">
        <v>559</v>
      </c>
      <c r="H15" s="58"/>
      <c r="I15" s="58"/>
      <c r="J15" s="58"/>
      <c r="K15" s="58"/>
      <c r="L15" s="58"/>
      <c r="M15" s="58"/>
      <c r="N15" s="58"/>
      <c r="O15" s="58"/>
      <c r="P15" s="58"/>
      <c r="Q15" s="58"/>
      <c r="R15" s="58"/>
      <c r="S15" s="58"/>
      <c r="T15" s="58"/>
      <c r="U15" s="58"/>
      <c r="V15" s="58"/>
      <c r="W15" s="58"/>
      <c r="X15" s="58"/>
      <c r="Y15" s="58"/>
      <c r="Z15" s="58"/>
    </row>
    <row r="16" spans="1:26" ht="18">
      <c r="A16" s="58" t="s">
        <v>560</v>
      </c>
      <c r="B16" s="58"/>
      <c r="C16" s="58" t="s">
        <v>536</v>
      </c>
      <c r="E16" s="202" t="s">
        <v>561</v>
      </c>
      <c r="F16" s="58"/>
      <c r="G16" s="190" t="s">
        <v>562</v>
      </c>
      <c r="H16" s="58"/>
      <c r="I16" s="58"/>
      <c r="J16" s="58"/>
      <c r="K16" s="58"/>
      <c r="L16" s="58"/>
      <c r="M16" s="58"/>
      <c r="N16" s="58"/>
      <c r="O16" s="58"/>
      <c r="P16" s="58"/>
      <c r="Q16" s="58"/>
      <c r="R16" s="58"/>
      <c r="S16" s="58"/>
      <c r="T16" s="58"/>
      <c r="U16" s="58"/>
      <c r="V16" s="58"/>
      <c r="W16" s="58"/>
      <c r="X16" s="58"/>
      <c r="Y16" s="58"/>
      <c r="Z16" s="58"/>
    </row>
    <row r="17" spans="1:26" ht="18">
      <c r="A17" s="58" t="s">
        <v>530</v>
      </c>
      <c r="B17" s="58"/>
      <c r="C17" s="190" t="s">
        <v>563</v>
      </c>
      <c r="D17" s="58"/>
      <c r="E17" s="58" t="s">
        <v>526</v>
      </c>
      <c r="F17" s="58"/>
      <c r="G17" s="58"/>
      <c r="H17" s="58"/>
      <c r="I17" s="58"/>
      <c r="J17" s="58"/>
      <c r="K17" s="58"/>
      <c r="L17" s="58"/>
      <c r="M17" s="58"/>
      <c r="N17" s="58"/>
      <c r="O17" s="58"/>
      <c r="P17" s="58"/>
      <c r="Q17" s="58"/>
      <c r="R17" s="58"/>
      <c r="S17" s="58"/>
      <c r="T17" s="58"/>
      <c r="U17" s="58"/>
      <c r="V17" s="58"/>
      <c r="W17" s="58"/>
      <c r="X17" s="58"/>
      <c r="Y17" s="58"/>
      <c r="Z17" s="58"/>
    </row>
    <row r="18" spans="1:26" ht="18">
      <c r="A18" s="58" t="s">
        <v>564</v>
      </c>
      <c r="B18" s="58"/>
      <c r="C18" s="58" t="s">
        <v>565</v>
      </c>
      <c r="D18" s="58"/>
      <c r="E18" s="58" t="s">
        <v>530</v>
      </c>
      <c r="F18" s="58"/>
      <c r="G18" s="58"/>
      <c r="H18" s="58"/>
      <c r="I18" s="58"/>
      <c r="J18" s="58"/>
      <c r="K18" s="58"/>
      <c r="L18" s="58"/>
      <c r="M18" s="58"/>
      <c r="N18" s="58"/>
      <c r="O18" s="58"/>
      <c r="P18" s="58"/>
      <c r="Q18" s="58"/>
      <c r="R18" s="58"/>
      <c r="S18" s="58"/>
      <c r="T18" s="58"/>
      <c r="U18" s="58"/>
      <c r="V18" s="58"/>
      <c r="W18" s="58"/>
      <c r="X18" s="58"/>
      <c r="Y18" s="58"/>
      <c r="Z18" s="58"/>
    </row>
    <row r="19" spans="1:26" ht="18">
      <c r="A19" s="58" t="s">
        <v>566</v>
      </c>
      <c r="B19" s="58"/>
      <c r="C19" s="190" t="s">
        <v>567</v>
      </c>
      <c r="D19" s="58"/>
      <c r="E19" s="58" t="s">
        <v>533</v>
      </c>
      <c r="F19" s="58"/>
      <c r="G19" s="58"/>
      <c r="H19" s="58"/>
      <c r="I19" s="58"/>
      <c r="J19" s="58"/>
      <c r="K19" s="58"/>
      <c r="L19" s="58"/>
      <c r="M19" s="58"/>
      <c r="N19" s="58"/>
      <c r="O19" s="58"/>
      <c r="P19" s="58"/>
      <c r="Q19" s="58"/>
      <c r="R19" s="58"/>
      <c r="S19" s="58"/>
      <c r="T19" s="58"/>
      <c r="U19" s="58"/>
      <c r="V19" s="58"/>
      <c r="W19" s="58"/>
      <c r="X19" s="58"/>
      <c r="Y19" s="58"/>
      <c r="Z19" s="58"/>
    </row>
    <row r="20" spans="1:26" ht="18">
      <c r="A20" s="58" t="s">
        <v>568</v>
      </c>
      <c r="B20" s="58"/>
      <c r="C20" s="190" t="s">
        <v>569</v>
      </c>
      <c r="D20" s="58"/>
      <c r="E20" s="58" t="s">
        <v>536</v>
      </c>
      <c r="F20" s="58"/>
      <c r="G20" s="58"/>
      <c r="H20" s="58"/>
      <c r="I20" s="58"/>
      <c r="J20" s="58"/>
      <c r="K20" s="58"/>
      <c r="L20" s="58"/>
      <c r="M20" s="58"/>
      <c r="N20" s="58"/>
      <c r="O20" s="58"/>
      <c r="P20" s="58"/>
      <c r="Q20" s="58"/>
      <c r="R20" s="58"/>
      <c r="S20" s="58"/>
      <c r="T20" s="58"/>
      <c r="U20" s="58"/>
      <c r="V20" s="58"/>
      <c r="W20" s="58"/>
      <c r="X20" s="58"/>
      <c r="Y20" s="58"/>
      <c r="Z20" s="58"/>
    </row>
    <row r="21" spans="1:26" ht="15.75" customHeight="1">
      <c r="A21" s="58" t="s">
        <v>570</v>
      </c>
      <c r="B21" s="58"/>
      <c r="C21" s="190" t="s">
        <v>571</v>
      </c>
      <c r="D21" s="58"/>
      <c r="E21" s="190" t="s">
        <v>539</v>
      </c>
      <c r="F21" s="58"/>
      <c r="G21" s="58"/>
      <c r="H21" s="58"/>
      <c r="I21" s="58"/>
      <c r="J21" s="58"/>
      <c r="K21" s="58"/>
      <c r="L21" s="58"/>
      <c r="M21" s="58"/>
      <c r="N21" s="58"/>
      <c r="O21" s="58"/>
      <c r="P21" s="58"/>
      <c r="Q21" s="58"/>
      <c r="R21" s="58"/>
      <c r="S21" s="58"/>
      <c r="T21" s="58"/>
      <c r="U21" s="58"/>
      <c r="V21" s="58"/>
      <c r="W21" s="58"/>
      <c r="X21" s="58"/>
      <c r="Y21" s="58"/>
      <c r="Z21" s="58"/>
    </row>
    <row r="22" spans="1:26" ht="15.75" customHeight="1">
      <c r="A22" s="190" t="s">
        <v>572</v>
      </c>
      <c r="B22" s="58"/>
      <c r="C22" s="190" t="s">
        <v>573</v>
      </c>
      <c r="D22" s="58"/>
      <c r="E22" s="190" t="s">
        <v>541</v>
      </c>
      <c r="F22" s="58"/>
      <c r="G22" s="58"/>
      <c r="H22" s="58"/>
      <c r="I22" s="58"/>
      <c r="J22" s="58"/>
      <c r="K22" s="58"/>
      <c r="L22" s="58"/>
      <c r="M22" s="58"/>
      <c r="N22" s="58"/>
      <c r="O22" s="58"/>
      <c r="P22" s="58"/>
      <c r="Q22" s="58"/>
      <c r="R22" s="58"/>
      <c r="S22" s="58"/>
      <c r="T22" s="58"/>
      <c r="U22" s="58"/>
      <c r="V22" s="58"/>
      <c r="W22" s="58"/>
      <c r="X22" s="58"/>
      <c r="Y22" s="58"/>
      <c r="Z22" s="58"/>
    </row>
    <row r="23" spans="1:26" ht="15.75" customHeight="1">
      <c r="A23" s="58"/>
      <c r="B23" s="58"/>
      <c r="C23" s="190" t="s">
        <v>574</v>
      </c>
      <c r="D23" s="58"/>
      <c r="E23" s="58" t="s">
        <v>544</v>
      </c>
      <c r="F23" s="58"/>
      <c r="G23" s="58"/>
      <c r="H23" s="58"/>
      <c r="I23" s="58"/>
      <c r="J23" s="58"/>
      <c r="K23" s="58"/>
      <c r="L23" s="58"/>
      <c r="M23" s="58"/>
      <c r="N23" s="58"/>
      <c r="O23" s="58"/>
      <c r="P23" s="58"/>
      <c r="Q23" s="58"/>
      <c r="R23" s="58"/>
      <c r="S23" s="58"/>
      <c r="T23" s="58"/>
      <c r="U23" s="58"/>
      <c r="V23" s="58"/>
      <c r="W23" s="58"/>
      <c r="X23" s="58"/>
      <c r="Y23" s="58"/>
      <c r="Z23" s="58"/>
    </row>
    <row r="24" spans="1:26" ht="15.75" customHeight="1">
      <c r="A24" s="203" t="s">
        <v>575</v>
      </c>
      <c r="B24" s="58"/>
      <c r="C24" s="190" t="s">
        <v>576</v>
      </c>
      <c r="D24" s="58"/>
      <c r="E24" s="189" t="s">
        <v>577</v>
      </c>
      <c r="F24" s="58"/>
      <c r="G24" s="58"/>
      <c r="H24" s="58"/>
      <c r="I24" s="58"/>
      <c r="J24" s="58"/>
      <c r="K24" s="58"/>
      <c r="L24" s="58"/>
      <c r="M24" s="58"/>
      <c r="N24" s="58"/>
      <c r="O24" s="58"/>
      <c r="P24" s="58"/>
      <c r="Q24" s="58"/>
      <c r="R24" s="58"/>
      <c r="S24" s="58"/>
      <c r="T24" s="58"/>
      <c r="U24" s="58"/>
      <c r="V24" s="58"/>
      <c r="W24" s="58"/>
      <c r="X24" s="58"/>
      <c r="Y24" s="58"/>
      <c r="Z24" s="58"/>
    </row>
    <row r="25" spans="1:26" ht="15.75" customHeight="1">
      <c r="A25" s="204" t="s">
        <v>578</v>
      </c>
      <c r="B25" s="58"/>
      <c r="C25" s="190" t="s">
        <v>579</v>
      </c>
      <c r="D25" s="58"/>
      <c r="E25" s="190" t="s">
        <v>580</v>
      </c>
      <c r="F25" s="58"/>
      <c r="G25" s="58"/>
      <c r="H25" s="58"/>
      <c r="I25" s="58"/>
      <c r="J25" s="58"/>
      <c r="K25" s="58"/>
      <c r="L25" s="58"/>
      <c r="M25" s="58"/>
      <c r="N25" s="58"/>
      <c r="O25" s="58"/>
      <c r="P25" s="58"/>
      <c r="Q25" s="58"/>
      <c r="R25" s="58"/>
      <c r="S25" s="58"/>
      <c r="T25" s="58"/>
      <c r="U25" s="58"/>
      <c r="V25" s="58"/>
      <c r="W25" s="58"/>
      <c r="X25" s="58"/>
      <c r="Y25" s="58"/>
      <c r="Z25" s="58"/>
    </row>
    <row r="26" spans="1:26" ht="15.75" customHeight="1">
      <c r="A26" s="204" t="s">
        <v>581</v>
      </c>
      <c r="B26" s="58"/>
      <c r="C26" s="190" t="s">
        <v>582</v>
      </c>
      <c r="D26" s="58"/>
      <c r="E26" s="58" t="s">
        <v>583</v>
      </c>
      <c r="F26" s="58"/>
      <c r="G26" s="58"/>
      <c r="H26" s="58"/>
      <c r="I26" s="58"/>
      <c r="J26" s="58"/>
      <c r="K26" s="58"/>
      <c r="L26" s="58"/>
      <c r="M26" s="58"/>
      <c r="N26" s="58"/>
      <c r="O26" s="58"/>
      <c r="P26" s="58"/>
      <c r="Q26" s="58"/>
      <c r="R26" s="58"/>
      <c r="S26" s="58"/>
      <c r="T26" s="58"/>
      <c r="U26" s="58"/>
      <c r="V26" s="58"/>
      <c r="W26" s="58"/>
      <c r="X26" s="58"/>
      <c r="Y26" s="58"/>
      <c r="Z26" s="58"/>
    </row>
    <row r="27" spans="1:26" ht="15.75" customHeight="1">
      <c r="A27" s="204" t="s">
        <v>584</v>
      </c>
      <c r="B27" s="58"/>
      <c r="D27" s="58"/>
      <c r="E27" s="58" t="s">
        <v>585</v>
      </c>
      <c r="F27" s="58"/>
      <c r="G27" s="58"/>
      <c r="H27" s="58"/>
      <c r="I27" s="58"/>
      <c r="J27" s="58"/>
      <c r="K27" s="58"/>
      <c r="L27" s="58"/>
      <c r="M27" s="58"/>
      <c r="N27" s="58"/>
      <c r="O27" s="58"/>
      <c r="P27" s="58"/>
      <c r="Q27" s="58"/>
      <c r="R27" s="58"/>
      <c r="S27" s="58"/>
      <c r="T27" s="58"/>
      <c r="U27" s="58"/>
      <c r="V27" s="58"/>
      <c r="W27" s="58"/>
      <c r="X27" s="58"/>
      <c r="Y27" s="58"/>
      <c r="Z27" s="58"/>
    </row>
    <row r="28" spans="1:26" ht="15.75" customHeight="1">
      <c r="A28" s="204" t="s">
        <v>586</v>
      </c>
      <c r="B28" s="58"/>
      <c r="D28" s="58"/>
      <c r="E28" s="58" t="s">
        <v>587</v>
      </c>
      <c r="F28" s="58"/>
      <c r="G28" s="58"/>
      <c r="H28" s="58"/>
      <c r="I28" s="58"/>
      <c r="J28" s="58"/>
      <c r="K28" s="58"/>
      <c r="L28" s="58"/>
      <c r="M28" s="58"/>
      <c r="N28" s="58"/>
      <c r="O28" s="58"/>
      <c r="P28" s="58"/>
      <c r="Q28" s="58"/>
      <c r="R28" s="58"/>
      <c r="S28" s="58"/>
      <c r="T28" s="58"/>
      <c r="U28" s="58"/>
      <c r="V28" s="58"/>
      <c r="W28" s="58"/>
      <c r="X28" s="58"/>
      <c r="Y28" s="58"/>
      <c r="Z28" s="58"/>
    </row>
    <row r="29" spans="1:26" ht="15.75" customHeight="1">
      <c r="A29" s="190" t="s">
        <v>588</v>
      </c>
      <c r="B29" s="58"/>
      <c r="D29" s="58"/>
      <c r="E29" s="58" t="s">
        <v>539</v>
      </c>
      <c r="F29" s="58"/>
      <c r="G29" s="58"/>
      <c r="H29" s="58"/>
      <c r="I29" s="58"/>
      <c r="J29" s="58"/>
      <c r="K29" s="58"/>
      <c r="L29" s="58"/>
      <c r="M29" s="58"/>
      <c r="N29" s="58"/>
      <c r="O29" s="58"/>
      <c r="P29" s="58"/>
      <c r="Q29" s="58"/>
      <c r="R29" s="58"/>
      <c r="S29" s="58"/>
      <c r="T29" s="58"/>
      <c r="U29" s="58"/>
      <c r="V29" s="58"/>
      <c r="W29" s="58"/>
      <c r="X29" s="58"/>
      <c r="Y29" s="58"/>
      <c r="Z29" s="58"/>
    </row>
    <row r="30" spans="1:26" ht="15.75" customHeight="1">
      <c r="A30" s="189" t="s">
        <v>589</v>
      </c>
      <c r="B30" s="58"/>
      <c r="C30" s="58"/>
      <c r="D30" s="58"/>
      <c r="E30" s="58" t="s">
        <v>590</v>
      </c>
      <c r="F30" s="58"/>
      <c r="G30" s="58"/>
      <c r="H30" s="58"/>
      <c r="I30" s="58"/>
      <c r="J30" s="58"/>
      <c r="K30" s="58"/>
      <c r="L30" s="58"/>
      <c r="M30" s="58"/>
      <c r="N30" s="58"/>
      <c r="O30" s="58"/>
      <c r="P30" s="58"/>
      <c r="Q30" s="58"/>
      <c r="R30" s="58"/>
      <c r="S30" s="58"/>
      <c r="T30" s="58"/>
      <c r="U30" s="58"/>
      <c r="V30" s="58"/>
      <c r="W30" s="58"/>
      <c r="X30" s="58"/>
      <c r="Y30" s="58"/>
      <c r="Z30" s="58"/>
    </row>
    <row r="31" spans="1:26" ht="15.75" customHeight="1">
      <c r="A31" s="190" t="s">
        <v>591</v>
      </c>
      <c r="B31" s="58"/>
      <c r="C31" s="205" t="s">
        <v>592</v>
      </c>
      <c r="D31" s="58"/>
      <c r="E31" s="58" t="s">
        <v>567</v>
      </c>
      <c r="F31" s="58"/>
      <c r="G31" s="58"/>
      <c r="H31" s="58"/>
      <c r="I31" s="58"/>
      <c r="J31" s="58"/>
      <c r="K31" s="58"/>
      <c r="L31" s="58"/>
      <c r="M31" s="58"/>
      <c r="N31" s="58"/>
      <c r="O31" s="58"/>
      <c r="P31" s="58"/>
      <c r="Q31" s="58"/>
      <c r="R31" s="58"/>
      <c r="S31" s="58"/>
      <c r="T31" s="58"/>
      <c r="U31" s="58"/>
      <c r="V31" s="58"/>
      <c r="W31" s="58"/>
      <c r="X31" s="58"/>
      <c r="Y31" s="58"/>
      <c r="Z31" s="58"/>
    </row>
    <row r="32" spans="1:26" ht="15.75" customHeight="1">
      <c r="A32" s="190" t="s">
        <v>593</v>
      </c>
      <c r="B32" s="58"/>
      <c r="C32" s="58" t="s">
        <v>594</v>
      </c>
      <c r="D32" s="58"/>
      <c r="E32" s="58" t="s">
        <v>595</v>
      </c>
      <c r="F32" s="58"/>
      <c r="G32" s="58"/>
      <c r="H32" s="58"/>
      <c r="I32" s="58"/>
      <c r="J32" s="58"/>
      <c r="K32" s="58"/>
      <c r="L32" s="58"/>
      <c r="M32" s="58"/>
      <c r="N32" s="58"/>
      <c r="O32" s="58"/>
      <c r="P32" s="58"/>
      <c r="Q32" s="58"/>
      <c r="R32" s="58"/>
      <c r="S32" s="58"/>
      <c r="T32" s="58"/>
      <c r="U32" s="58"/>
      <c r="V32" s="58"/>
      <c r="W32" s="58"/>
      <c r="X32" s="58"/>
      <c r="Y32" s="58"/>
      <c r="Z32" s="58"/>
    </row>
    <row r="33" spans="1:26" ht="15.75" customHeight="1">
      <c r="A33" s="190" t="s">
        <v>596</v>
      </c>
      <c r="B33" s="58"/>
      <c r="C33" s="58" t="s">
        <v>597</v>
      </c>
      <c r="D33" s="58"/>
      <c r="E33" s="58" t="s">
        <v>598</v>
      </c>
      <c r="F33" s="58"/>
      <c r="G33" s="58"/>
      <c r="H33" s="58"/>
      <c r="I33" s="58"/>
      <c r="J33" s="58"/>
      <c r="K33" s="58"/>
      <c r="L33" s="58"/>
      <c r="M33" s="58"/>
      <c r="N33" s="58"/>
      <c r="O33" s="58"/>
      <c r="P33" s="58"/>
      <c r="Q33" s="58"/>
      <c r="R33" s="58"/>
      <c r="S33" s="58"/>
      <c r="T33" s="58"/>
      <c r="U33" s="58"/>
      <c r="V33" s="58"/>
      <c r="W33" s="58"/>
      <c r="X33" s="58"/>
      <c r="Y33" s="58"/>
      <c r="Z33" s="58"/>
    </row>
    <row r="34" spans="1:26" ht="15.75" customHeight="1">
      <c r="A34" s="190" t="s">
        <v>599</v>
      </c>
      <c r="B34" s="58"/>
      <c r="C34" s="58" t="s">
        <v>600</v>
      </c>
      <c r="D34" s="58"/>
      <c r="E34" s="206" t="s">
        <v>601</v>
      </c>
      <c r="F34" s="58"/>
      <c r="G34" s="58"/>
      <c r="H34" s="58"/>
      <c r="I34" s="58"/>
      <c r="J34" s="58"/>
      <c r="K34" s="58"/>
      <c r="L34" s="58"/>
      <c r="M34" s="58"/>
      <c r="N34" s="58"/>
      <c r="O34" s="58"/>
      <c r="P34" s="58"/>
      <c r="Q34" s="58"/>
      <c r="R34" s="58"/>
      <c r="S34" s="58"/>
      <c r="T34" s="58"/>
      <c r="U34" s="58"/>
      <c r="V34" s="58"/>
      <c r="W34" s="58"/>
      <c r="X34" s="58"/>
      <c r="Y34" s="58"/>
      <c r="Z34" s="58"/>
    </row>
    <row r="35" spans="1:26" ht="15.75" customHeight="1">
      <c r="A35" s="190" t="s">
        <v>602</v>
      </c>
      <c r="B35" s="58"/>
      <c r="C35" s="58" t="s">
        <v>603</v>
      </c>
      <c r="D35" s="58"/>
      <c r="E35" s="205" t="s">
        <v>604</v>
      </c>
      <c r="F35" s="58"/>
      <c r="G35" s="58"/>
      <c r="H35" s="58"/>
      <c r="I35" s="58"/>
      <c r="J35" s="58"/>
      <c r="K35" s="58"/>
      <c r="L35" s="58"/>
      <c r="M35" s="58"/>
      <c r="N35" s="58"/>
      <c r="O35" s="58"/>
      <c r="P35" s="58"/>
      <c r="Q35" s="58"/>
      <c r="R35" s="58"/>
      <c r="S35" s="58"/>
      <c r="T35" s="58"/>
      <c r="U35" s="58"/>
      <c r="V35" s="58"/>
      <c r="W35" s="58"/>
      <c r="X35" s="58"/>
      <c r="Y35" s="58"/>
      <c r="Z35" s="58"/>
    </row>
    <row r="36" spans="1:26" ht="15.75" customHeight="1">
      <c r="A36" s="190" t="s">
        <v>605</v>
      </c>
      <c r="B36" s="58"/>
      <c r="C36" s="58" t="s">
        <v>606</v>
      </c>
      <c r="D36" s="58"/>
      <c r="E36" s="185" t="s">
        <v>527</v>
      </c>
      <c r="F36" s="58"/>
      <c r="G36" s="58"/>
      <c r="H36" s="58"/>
      <c r="I36" s="58"/>
      <c r="J36" s="58"/>
      <c r="K36" s="58"/>
      <c r="L36" s="58"/>
      <c r="M36" s="58"/>
      <c r="N36" s="58"/>
      <c r="O36" s="58"/>
      <c r="P36" s="58"/>
      <c r="Q36" s="58"/>
      <c r="R36" s="58"/>
      <c r="S36" s="58"/>
      <c r="T36" s="58"/>
      <c r="U36" s="58"/>
      <c r="V36" s="58"/>
      <c r="W36" s="58"/>
      <c r="X36" s="58"/>
      <c r="Y36" s="58"/>
      <c r="Z36" s="58"/>
    </row>
    <row r="37" spans="1:26" ht="15.75" customHeight="1">
      <c r="A37" s="190" t="s">
        <v>607</v>
      </c>
      <c r="B37" s="58"/>
      <c r="C37" s="58" t="s">
        <v>608</v>
      </c>
      <c r="D37" s="58"/>
      <c r="E37" s="190" t="s">
        <v>446</v>
      </c>
      <c r="F37" s="58"/>
      <c r="G37" s="58"/>
      <c r="H37" s="58"/>
      <c r="I37" s="58"/>
      <c r="J37" s="58"/>
      <c r="K37" s="58"/>
      <c r="L37" s="58"/>
      <c r="M37" s="58"/>
      <c r="N37" s="58"/>
      <c r="O37" s="58"/>
      <c r="P37" s="58"/>
      <c r="Q37" s="58"/>
      <c r="R37" s="58"/>
      <c r="S37" s="58"/>
      <c r="T37" s="58"/>
      <c r="U37" s="58"/>
      <c r="V37" s="58"/>
      <c r="W37" s="58"/>
      <c r="X37" s="58"/>
      <c r="Y37" s="58"/>
      <c r="Z37" s="58"/>
    </row>
    <row r="38" spans="1:26" ht="15.75" customHeight="1">
      <c r="A38" s="190" t="s">
        <v>609</v>
      </c>
      <c r="B38" s="58"/>
      <c r="C38" s="190" t="s">
        <v>610</v>
      </c>
      <c r="D38" s="58"/>
      <c r="E38" s="190" t="s">
        <v>447</v>
      </c>
      <c r="F38" s="58"/>
      <c r="G38" s="58"/>
      <c r="H38" s="58"/>
      <c r="I38" s="58"/>
      <c r="J38" s="58"/>
      <c r="K38" s="58"/>
      <c r="L38" s="58"/>
      <c r="M38" s="58"/>
      <c r="N38" s="58"/>
      <c r="O38" s="58"/>
      <c r="P38" s="58"/>
      <c r="Q38" s="58"/>
      <c r="R38" s="58"/>
      <c r="S38" s="58"/>
      <c r="T38" s="58"/>
      <c r="U38" s="58"/>
      <c r="V38" s="58"/>
      <c r="W38" s="58"/>
      <c r="X38" s="58"/>
      <c r="Y38" s="58"/>
      <c r="Z38" s="58"/>
    </row>
    <row r="39" spans="1:26" ht="15.75" customHeight="1">
      <c r="A39" s="190" t="s">
        <v>611</v>
      </c>
      <c r="B39" s="58"/>
      <c r="C39" s="58" t="s">
        <v>612</v>
      </c>
      <c r="D39" s="58"/>
      <c r="E39" s="190" t="s">
        <v>448</v>
      </c>
      <c r="F39" s="58"/>
      <c r="G39" s="58"/>
      <c r="H39" s="58"/>
      <c r="I39" s="58"/>
      <c r="J39" s="58"/>
      <c r="K39" s="58"/>
      <c r="L39" s="58"/>
      <c r="M39" s="58"/>
      <c r="N39" s="58"/>
      <c r="O39" s="58"/>
      <c r="P39" s="58"/>
      <c r="Q39" s="58"/>
      <c r="R39" s="58"/>
      <c r="S39" s="58"/>
      <c r="T39" s="58"/>
      <c r="U39" s="58"/>
      <c r="V39" s="58"/>
      <c r="W39" s="58"/>
      <c r="X39" s="58"/>
      <c r="Y39" s="58"/>
      <c r="Z39" s="58"/>
    </row>
    <row r="40" spans="1:26" ht="15.75" customHeight="1">
      <c r="A40" s="190" t="s">
        <v>613</v>
      </c>
      <c r="B40" s="58"/>
      <c r="C40" s="58" t="s">
        <v>614</v>
      </c>
      <c r="D40" s="58"/>
      <c r="E40" s="190" t="s">
        <v>540</v>
      </c>
      <c r="F40" s="58"/>
      <c r="G40" s="58"/>
      <c r="H40" s="58"/>
      <c r="I40" s="58"/>
      <c r="J40" s="58"/>
      <c r="K40" s="58"/>
      <c r="L40" s="58"/>
      <c r="M40" s="58"/>
      <c r="N40" s="58"/>
      <c r="O40" s="58"/>
      <c r="P40" s="58"/>
      <c r="Q40" s="58"/>
      <c r="R40" s="58"/>
      <c r="S40" s="58"/>
      <c r="T40" s="58"/>
      <c r="U40" s="58"/>
      <c r="V40" s="58"/>
      <c r="W40" s="58"/>
      <c r="X40" s="58"/>
      <c r="Y40" s="58"/>
      <c r="Z40" s="58"/>
    </row>
    <row r="41" spans="1:26" ht="15.75" customHeight="1">
      <c r="A41" s="190"/>
      <c r="B41" s="58"/>
      <c r="C41" s="58" t="s">
        <v>615</v>
      </c>
      <c r="D41" s="58"/>
      <c r="E41" s="58" t="s">
        <v>542</v>
      </c>
      <c r="F41" s="58"/>
      <c r="G41" s="58"/>
      <c r="H41" s="58"/>
      <c r="I41" s="58"/>
      <c r="J41" s="58"/>
      <c r="K41" s="58"/>
      <c r="L41" s="58"/>
      <c r="M41" s="58"/>
      <c r="N41" s="58"/>
      <c r="O41" s="58"/>
      <c r="P41" s="58"/>
      <c r="Q41" s="58"/>
      <c r="R41" s="58"/>
      <c r="S41" s="58"/>
      <c r="T41" s="58"/>
      <c r="U41" s="58"/>
      <c r="V41" s="58"/>
      <c r="W41" s="58"/>
      <c r="X41" s="58"/>
      <c r="Y41" s="58"/>
      <c r="Z41" s="58"/>
    </row>
    <row r="42" spans="1:26" ht="15.75" customHeight="1">
      <c r="A42" s="189" t="s">
        <v>616</v>
      </c>
      <c r="B42" s="58"/>
      <c r="C42" s="58" t="s">
        <v>617</v>
      </c>
      <c r="D42" s="58"/>
      <c r="E42" s="190" t="s">
        <v>618</v>
      </c>
      <c r="F42" s="58"/>
      <c r="G42" s="58"/>
      <c r="H42" s="58"/>
      <c r="I42" s="58"/>
      <c r="J42" s="58"/>
      <c r="K42" s="58"/>
      <c r="L42" s="58"/>
      <c r="M42" s="58"/>
      <c r="N42" s="58"/>
      <c r="O42" s="58"/>
      <c r="P42" s="58"/>
      <c r="Q42" s="58"/>
      <c r="R42" s="58"/>
      <c r="S42" s="58"/>
      <c r="T42" s="58"/>
      <c r="U42" s="58"/>
      <c r="V42" s="58"/>
      <c r="W42" s="58"/>
      <c r="X42" s="58"/>
      <c r="Y42" s="58"/>
      <c r="Z42" s="58"/>
    </row>
    <row r="43" spans="1:26" ht="15.75" customHeight="1">
      <c r="A43" s="58" t="s">
        <v>619</v>
      </c>
      <c r="B43" s="58"/>
      <c r="C43" s="58" t="s">
        <v>620</v>
      </c>
      <c r="D43" s="58"/>
      <c r="E43" s="190" t="s">
        <v>451</v>
      </c>
      <c r="F43" s="58"/>
      <c r="G43" s="58"/>
      <c r="H43" s="58"/>
      <c r="I43" s="58"/>
      <c r="J43" s="58"/>
      <c r="K43" s="58"/>
      <c r="L43" s="58"/>
      <c r="M43" s="58"/>
      <c r="N43" s="58"/>
      <c r="O43" s="58"/>
      <c r="P43" s="58"/>
      <c r="Q43" s="58"/>
      <c r="R43" s="58"/>
      <c r="S43" s="58"/>
      <c r="T43" s="58"/>
      <c r="U43" s="58"/>
      <c r="V43" s="58"/>
      <c r="W43" s="58"/>
      <c r="X43" s="58"/>
      <c r="Y43" s="58"/>
      <c r="Z43" s="58"/>
    </row>
    <row r="44" spans="1:26" ht="15.75" customHeight="1">
      <c r="A44" s="58" t="s">
        <v>526</v>
      </c>
      <c r="B44" s="58"/>
      <c r="C44" s="58" t="s">
        <v>621</v>
      </c>
      <c r="D44" s="58"/>
      <c r="E44" s="58" t="s">
        <v>548</v>
      </c>
      <c r="F44" s="58"/>
      <c r="G44" s="58"/>
      <c r="H44" s="58"/>
      <c r="I44" s="58"/>
      <c r="J44" s="58"/>
      <c r="K44" s="58"/>
      <c r="L44" s="58"/>
      <c r="M44" s="58"/>
      <c r="N44" s="58"/>
      <c r="O44" s="58"/>
      <c r="P44" s="58"/>
      <c r="Q44" s="58"/>
      <c r="R44" s="58"/>
      <c r="S44" s="58"/>
      <c r="T44" s="58"/>
      <c r="U44" s="58"/>
      <c r="V44" s="58"/>
      <c r="W44" s="58"/>
      <c r="X44" s="58"/>
      <c r="Y44" s="58"/>
      <c r="Z44" s="58"/>
    </row>
    <row r="45" spans="1:26" ht="15.75" customHeight="1">
      <c r="A45" s="58" t="s">
        <v>530</v>
      </c>
      <c r="B45" s="58"/>
      <c r="C45" s="58" t="s">
        <v>622</v>
      </c>
      <c r="D45" s="58"/>
      <c r="E45" s="190" t="s">
        <v>623</v>
      </c>
      <c r="F45" s="58"/>
      <c r="G45" s="58"/>
      <c r="H45" s="58"/>
      <c r="I45" s="58"/>
      <c r="J45" s="58"/>
      <c r="K45" s="58"/>
      <c r="L45" s="58"/>
      <c r="M45" s="58"/>
      <c r="N45" s="58"/>
      <c r="O45" s="58"/>
      <c r="P45" s="58"/>
      <c r="Q45" s="58"/>
      <c r="R45" s="58"/>
      <c r="S45" s="58"/>
      <c r="T45" s="58"/>
      <c r="U45" s="58"/>
      <c r="V45" s="58"/>
      <c r="W45" s="58"/>
      <c r="X45" s="58"/>
      <c r="Y45" s="58"/>
      <c r="Z45" s="58"/>
    </row>
    <row r="46" spans="1:26" ht="15.75" customHeight="1">
      <c r="A46" s="190" t="s">
        <v>624</v>
      </c>
      <c r="B46" s="58"/>
      <c r="C46" s="58" t="s">
        <v>625</v>
      </c>
      <c r="D46" s="58"/>
      <c r="E46" s="201" t="s">
        <v>626</v>
      </c>
      <c r="F46" s="58"/>
      <c r="G46" s="58"/>
      <c r="H46" s="58"/>
      <c r="I46" s="58"/>
      <c r="J46" s="58"/>
      <c r="K46" s="58"/>
      <c r="L46" s="58"/>
      <c r="M46" s="58"/>
      <c r="N46" s="58"/>
      <c r="O46" s="58"/>
      <c r="P46" s="58"/>
      <c r="Q46" s="58"/>
      <c r="R46" s="58"/>
      <c r="S46" s="58"/>
      <c r="T46" s="58"/>
      <c r="U46" s="58"/>
      <c r="V46" s="58"/>
      <c r="W46" s="58"/>
      <c r="X46" s="58"/>
      <c r="Y46" s="58"/>
      <c r="Z46" s="58"/>
    </row>
    <row r="47" spans="1:26" ht="15.75" customHeight="1">
      <c r="A47" s="190" t="s">
        <v>627</v>
      </c>
      <c r="B47" s="58"/>
      <c r="C47" s="58" t="s">
        <v>628</v>
      </c>
      <c r="D47" s="58"/>
      <c r="E47" s="190" t="s">
        <v>461</v>
      </c>
      <c r="F47" s="58"/>
      <c r="G47" s="58"/>
      <c r="H47" s="58"/>
      <c r="I47" s="58"/>
      <c r="J47" s="58"/>
      <c r="K47" s="58"/>
      <c r="L47" s="58"/>
      <c r="M47" s="58"/>
      <c r="N47" s="58"/>
      <c r="O47" s="58"/>
      <c r="P47" s="58"/>
      <c r="Q47" s="58"/>
      <c r="R47" s="58"/>
      <c r="S47" s="58"/>
      <c r="T47" s="58"/>
      <c r="U47" s="58"/>
      <c r="V47" s="58"/>
      <c r="W47" s="58"/>
      <c r="X47" s="58"/>
      <c r="Y47" s="58"/>
      <c r="Z47" s="58"/>
    </row>
    <row r="48" spans="1:26" ht="15.75" customHeight="1">
      <c r="A48" s="190" t="s">
        <v>629</v>
      </c>
      <c r="B48" s="58"/>
      <c r="C48" s="190" t="s">
        <v>630</v>
      </c>
      <c r="D48" s="58"/>
      <c r="E48" s="190" t="s">
        <v>456</v>
      </c>
      <c r="F48" s="58"/>
      <c r="G48" s="58"/>
      <c r="H48" s="58"/>
      <c r="I48" s="58"/>
      <c r="J48" s="58"/>
      <c r="K48" s="58"/>
      <c r="L48" s="58"/>
      <c r="M48" s="58"/>
      <c r="N48" s="58"/>
      <c r="O48" s="58"/>
      <c r="P48" s="58"/>
      <c r="Q48" s="58"/>
      <c r="R48" s="58"/>
      <c r="S48" s="58"/>
      <c r="T48" s="58"/>
      <c r="U48" s="58"/>
      <c r="V48" s="58"/>
      <c r="W48" s="58"/>
      <c r="X48" s="58"/>
      <c r="Y48" s="58"/>
      <c r="Z48" s="58"/>
    </row>
    <row r="49" spans="1:26" ht="15.75" customHeight="1">
      <c r="A49" s="190" t="s">
        <v>631</v>
      </c>
      <c r="B49" s="58"/>
      <c r="C49" s="58" t="s">
        <v>632</v>
      </c>
      <c r="D49" s="58"/>
      <c r="E49" s="205" t="s">
        <v>633</v>
      </c>
      <c r="F49" s="58"/>
      <c r="G49" s="58"/>
      <c r="H49" s="58"/>
      <c r="I49" s="58"/>
      <c r="J49" s="58"/>
      <c r="K49" s="58"/>
      <c r="L49" s="58"/>
      <c r="M49" s="58"/>
      <c r="N49" s="58"/>
      <c r="O49" s="58"/>
      <c r="P49" s="58"/>
      <c r="Q49" s="58"/>
      <c r="R49" s="58"/>
      <c r="S49" s="58"/>
      <c r="T49" s="58"/>
      <c r="U49" s="58"/>
      <c r="V49" s="58"/>
      <c r="W49" s="58"/>
      <c r="X49" s="58"/>
      <c r="Y49" s="58"/>
      <c r="Z49" s="58"/>
    </row>
    <row r="50" spans="1:26" ht="15.75" customHeight="1">
      <c r="A50" s="58" t="s">
        <v>634</v>
      </c>
      <c r="B50" s="58"/>
      <c r="C50" s="58"/>
      <c r="D50" s="58"/>
      <c r="E50" s="190" t="s">
        <v>635</v>
      </c>
      <c r="F50" s="58"/>
      <c r="G50" s="58"/>
      <c r="H50" s="58"/>
      <c r="I50" s="58"/>
      <c r="J50" s="58"/>
      <c r="K50" s="58"/>
      <c r="L50" s="58"/>
      <c r="M50" s="58"/>
      <c r="N50" s="58"/>
      <c r="O50" s="58"/>
      <c r="P50" s="58"/>
      <c r="Q50" s="58"/>
      <c r="R50" s="58"/>
      <c r="S50" s="58"/>
      <c r="T50" s="58"/>
      <c r="U50" s="58"/>
      <c r="V50" s="58"/>
      <c r="W50" s="58"/>
      <c r="X50" s="58"/>
      <c r="Y50" s="58"/>
      <c r="Z50" s="58"/>
    </row>
    <row r="51" spans="1:26" ht="15.75" customHeight="1">
      <c r="A51" s="190" t="s">
        <v>636</v>
      </c>
      <c r="B51" s="58"/>
      <c r="C51" s="58" t="s">
        <v>637</v>
      </c>
      <c r="D51" s="58"/>
      <c r="E51" s="190" t="s">
        <v>638</v>
      </c>
      <c r="F51" s="58"/>
      <c r="G51" s="58"/>
      <c r="H51" s="58"/>
      <c r="I51" s="58"/>
      <c r="J51" s="58"/>
      <c r="K51" s="58"/>
      <c r="L51" s="58"/>
      <c r="M51" s="58"/>
      <c r="N51" s="58"/>
      <c r="O51" s="58"/>
      <c r="P51" s="58"/>
      <c r="Q51" s="58"/>
      <c r="R51" s="58"/>
      <c r="S51" s="58"/>
      <c r="T51" s="58"/>
      <c r="U51" s="58"/>
      <c r="V51" s="58"/>
      <c r="W51" s="58"/>
      <c r="X51" s="58"/>
      <c r="Y51" s="58"/>
      <c r="Z51" s="58"/>
    </row>
    <row r="52" spans="1:26" ht="15.75" customHeight="1">
      <c r="A52" s="58"/>
      <c r="B52" s="58"/>
      <c r="C52" s="58" t="s">
        <v>639</v>
      </c>
      <c r="D52" s="58"/>
      <c r="E52" s="58" t="s">
        <v>640</v>
      </c>
      <c r="F52" s="58"/>
      <c r="G52" s="58"/>
      <c r="H52" s="58"/>
      <c r="I52" s="58"/>
      <c r="J52" s="58"/>
      <c r="K52" s="58"/>
      <c r="L52" s="58"/>
      <c r="M52" s="58"/>
      <c r="N52" s="58"/>
      <c r="O52" s="58"/>
      <c r="P52" s="58"/>
      <c r="Q52" s="58"/>
      <c r="R52" s="58"/>
      <c r="S52" s="58"/>
      <c r="T52" s="58"/>
      <c r="U52" s="58"/>
      <c r="V52" s="58"/>
      <c r="W52" s="58"/>
      <c r="X52" s="58"/>
      <c r="Y52" s="58"/>
      <c r="Z52" s="58"/>
    </row>
    <row r="53" spans="1:26" ht="15.75" customHeight="1">
      <c r="B53" s="58"/>
      <c r="C53" s="58" t="s">
        <v>641</v>
      </c>
      <c r="D53" s="58"/>
      <c r="E53" s="190" t="s">
        <v>642</v>
      </c>
      <c r="F53" s="58"/>
      <c r="G53" s="58"/>
      <c r="H53" s="58"/>
      <c r="I53" s="58"/>
      <c r="J53" s="58"/>
      <c r="K53" s="58"/>
      <c r="L53" s="58"/>
      <c r="M53" s="58"/>
      <c r="N53" s="58"/>
      <c r="O53" s="58"/>
      <c r="P53" s="58"/>
      <c r="Q53" s="58"/>
      <c r="R53" s="58"/>
      <c r="S53" s="58"/>
      <c r="T53" s="58"/>
      <c r="U53" s="58"/>
      <c r="V53" s="58"/>
      <c r="W53" s="58"/>
      <c r="X53" s="58"/>
      <c r="Y53" s="58"/>
      <c r="Z53" s="58"/>
    </row>
    <row r="54" spans="1:26" ht="15.75" customHeight="1">
      <c r="A54" s="189" t="s">
        <v>643</v>
      </c>
      <c r="B54" s="58"/>
      <c r="C54" s="58" t="s">
        <v>644</v>
      </c>
      <c r="D54" s="58"/>
      <c r="E54" s="190" t="s">
        <v>645</v>
      </c>
      <c r="F54" s="58"/>
      <c r="G54" s="58"/>
      <c r="H54" s="58"/>
      <c r="I54" s="58"/>
      <c r="J54" s="58"/>
      <c r="K54" s="58"/>
      <c r="L54" s="58"/>
      <c r="M54" s="58"/>
      <c r="N54" s="58"/>
      <c r="O54" s="58"/>
      <c r="P54" s="58"/>
      <c r="Q54" s="58"/>
      <c r="R54" s="58"/>
      <c r="S54" s="58"/>
      <c r="T54" s="58"/>
      <c r="U54" s="58"/>
      <c r="V54" s="58"/>
      <c r="W54" s="58"/>
      <c r="X54" s="58"/>
      <c r="Y54" s="58"/>
      <c r="Z54" s="58"/>
    </row>
    <row r="55" spans="1:26" ht="15.75" customHeight="1">
      <c r="A55" s="22" t="s">
        <v>646</v>
      </c>
      <c r="B55" s="58"/>
      <c r="C55" s="58"/>
      <c r="D55" s="58"/>
      <c r="E55" s="190" t="s">
        <v>647</v>
      </c>
      <c r="F55" s="58"/>
      <c r="G55" s="58"/>
      <c r="H55" s="58"/>
      <c r="I55" s="58"/>
      <c r="J55" s="58"/>
      <c r="K55" s="58"/>
      <c r="L55" s="58"/>
      <c r="M55" s="58"/>
      <c r="N55" s="58"/>
      <c r="O55" s="58"/>
      <c r="P55" s="58"/>
      <c r="Q55" s="58"/>
      <c r="R55" s="58"/>
      <c r="S55" s="58"/>
      <c r="T55" s="58"/>
      <c r="U55" s="58"/>
      <c r="V55" s="58"/>
      <c r="W55" s="58"/>
      <c r="X55" s="58"/>
      <c r="Y55" s="58"/>
      <c r="Z55" s="58"/>
    </row>
    <row r="56" spans="1:26" ht="15.75" customHeight="1">
      <c r="A56" s="190" t="s">
        <v>648</v>
      </c>
      <c r="B56" s="58"/>
      <c r="C56" s="58" t="s">
        <v>649</v>
      </c>
      <c r="D56" s="58"/>
      <c r="E56" s="190" t="s">
        <v>650</v>
      </c>
      <c r="F56" s="58"/>
      <c r="G56" s="58"/>
      <c r="H56" s="58"/>
      <c r="I56" s="58"/>
      <c r="J56" s="58"/>
      <c r="K56" s="58"/>
      <c r="L56" s="58"/>
      <c r="M56" s="58"/>
      <c r="N56" s="58"/>
      <c r="O56" s="58"/>
      <c r="P56" s="58"/>
      <c r="Q56" s="58"/>
      <c r="R56" s="58"/>
      <c r="S56" s="58"/>
      <c r="T56" s="58"/>
      <c r="U56" s="58"/>
      <c r="V56" s="58"/>
      <c r="W56" s="58"/>
      <c r="X56" s="58"/>
      <c r="Y56" s="58"/>
      <c r="Z56" s="58"/>
    </row>
    <row r="57" spans="1:26" ht="15.75" customHeight="1">
      <c r="A57" s="190" t="s">
        <v>596</v>
      </c>
      <c r="B57" s="58"/>
      <c r="C57" s="58" t="s">
        <v>651</v>
      </c>
      <c r="D57" s="58"/>
      <c r="E57" s="190" t="s">
        <v>652</v>
      </c>
      <c r="F57" s="58"/>
      <c r="G57" s="58"/>
      <c r="H57" s="58"/>
      <c r="I57" s="58"/>
      <c r="J57" s="58"/>
      <c r="K57" s="58"/>
      <c r="L57" s="58"/>
      <c r="M57" s="58"/>
      <c r="N57" s="58"/>
      <c r="O57" s="58"/>
      <c r="P57" s="58"/>
      <c r="Q57" s="58"/>
      <c r="R57" s="58"/>
      <c r="S57" s="58"/>
      <c r="T57" s="58"/>
      <c r="U57" s="58"/>
      <c r="V57" s="58"/>
      <c r="W57" s="58"/>
      <c r="X57" s="58"/>
      <c r="Y57" s="58"/>
      <c r="Z57" s="58"/>
    </row>
    <row r="58" spans="1:26" ht="15.75" customHeight="1">
      <c r="A58" s="190" t="s">
        <v>653</v>
      </c>
      <c r="B58" s="58"/>
      <c r="C58" s="58" t="s">
        <v>654</v>
      </c>
      <c r="D58" s="58"/>
      <c r="E58" s="190" t="s">
        <v>655</v>
      </c>
      <c r="F58" s="58"/>
      <c r="G58" s="58"/>
      <c r="H58" s="58"/>
      <c r="I58" s="58"/>
      <c r="J58" s="58"/>
      <c r="K58" s="58"/>
      <c r="L58" s="58"/>
      <c r="M58" s="58"/>
      <c r="N58" s="58"/>
      <c r="O58" s="58"/>
      <c r="P58" s="58"/>
      <c r="Q58" s="58"/>
      <c r="R58" s="58"/>
      <c r="S58" s="58"/>
      <c r="T58" s="58"/>
      <c r="U58" s="58"/>
      <c r="V58" s="58"/>
      <c r="W58" s="58"/>
      <c r="X58" s="58"/>
      <c r="Y58" s="58"/>
      <c r="Z58" s="58"/>
    </row>
    <row r="59" spans="1:26" ht="15.75" customHeight="1">
      <c r="A59" s="190" t="s">
        <v>656</v>
      </c>
      <c r="B59" s="58"/>
      <c r="C59" s="58"/>
      <c r="D59" s="58"/>
      <c r="E59" s="190" t="s">
        <v>657</v>
      </c>
      <c r="F59" s="58"/>
      <c r="G59" s="58"/>
      <c r="H59" s="58"/>
      <c r="I59" s="58"/>
      <c r="J59" s="58"/>
      <c r="K59" s="58"/>
      <c r="L59" s="58"/>
      <c r="M59" s="58"/>
      <c r="N59" s="58"/>
      <c r="O59" s="58"/>
      <c r="P59" s="58"/>
      <c r="Q59" s="58"/>
      <c r="R59" s="58"/>
      <c r="S59" s="58"/>
      <c r="T59" s="58"/>
      <c r="U59" s="58"/>
      <c r="V59" s="58"/>
      <c r="W59" s="58"/>
      <c r="X59" s="58"/>
      <c r="Y59" s="58"/>
      <c r="Z59" s="58"/>
    </row>
    <row r="60" spans="1:26" ht="15.75" customHeight="1">
      <c r="A60" s="190" t="s">
        <v>658</v>
      </c>
      <c r="B60" s="58"/>
      <c r="C60" s="58" t="s">
        <v>659</v>
      </c>
      <c r="D60" s="58"/>
      <c r="E60" s="190" t="s">
        <v>660</v>
      </c>
      <c r="F60" s="58"/>
      <c r="G60" s="58"/>
      <c r="H60" s="58"/>
      <c r="I60" s="58"/>
      <c r="J60" s="58"/>
      <c r="K60" s="58"/>
      <c r="L60" s="58"/>
      <c r="M60" s="58"/>
      <c r="N60" s="58"/>
      <c r="O60" s="58"/>
      <c r="P60" s="58"/>
      <c r="Q60" s="58"/>
      <c r="R60" s="58"/>
      <c r="S60" s="58"/>
      <c r="T60" s="58"/>
      <c r="U60" s="58"/>
      <c r="V60" s="58"/>
      <c r="W60" s="58"/>
      <c r="X60" s="58"/>
      <c r="Y60" s="58"/>
      <c r="Z60" s="58"/>
    </row>
    <row r="61" spans="1:26" ht="15.75" customHeight="1">
      <c r="A61" s="190" t="s">
        <v>661</v>
      </c>
      <c r="B61" s="58"/>
      <c r="C61" s="58"/>
      <c r="D61" s="58"/>
      <c r="E61" s="190" t="s">
        <v>662</v>
      </c>
      <c r="F61" s="58"/>
      <c r="G61" s="58"/>
      <c r="H61" s="58"/>
      <c r="I61" s="58"/>
      <c r="J61" s="58"/>
      <c r="K61" s="58"/>
      <c r="L61" s="58"/>
      <c r="M61" s="58"/>
      <c r="N61" s="58"/>
      <c r="O61" s="58"/>
      <c r="P61" s="58"/>
      <c r="Q61" s="58"/>
      <c r="R61" s="58"/>
      <c r="S61" s="58"/>
      <c r="T61" s="58"/>
      <c r="U61" s="58"/>
      <c r="V61" s="58"/>
      <c r="W61" s="58"/>
      <c r="X61" s="58"/>
      <c r="Y61" s="58"/>
      <c r="Z61" s="58"/>
    </row>
    <row r="62" spans="1:26" ht="15.75" customHeight="1">
      <c r="A62" s="190" t="s">
        <v>663</v>
      </c>
      <c r="B62" s="58"/>
      <c r="C62" s="58" t="s">
        <v>664</v>
      </c>
      <c r="D62" s="58"/>
      <c r="E62" s="190" t="s">
        <v>665</v>
      </c>
      <c r="F62" s="58"/>
      <c r="G62" s="58"/>
      <c r="H62" s="58"/>
      <c r="I62" s="58"/>
      <c r="J62" s="58"/>
      <c r="K62" s="58"/>
      <c r="L62" s="58"/>
      <c r="M62" s="58"/>
      <c r="N62" s="58"/>
      <c r="O62" s="58"/>
      <c r="P62" s="58"/>
      <c r="Q62" s="58"/>
      <c r="R62" s="58"/>
      <c r="S62" s="58"/>
      <c r="T62" s="58"/>
      <c r="U62" s="58"/>
      <c r="V62" s="58"/>
      <c r="W62" s="58"/>
      <c r="X62" s="58"/>
      <c r="Y62" s="58"/>
      <c r="Z62" s="58"/>
    </row>
    <row r="63" spans="1:26" ht="15.75" customHeight="1">
      <c r="A63" s="190" t="s">
        <v>666</v>
      </c>
      <c r="B63" s="58"/>
      <c r="C63" s="58"/>
      <c r="D63" s="58"/>
      <c r="E63" s="58" t="s">
        <v>667</v>
      </c>
      <c r="F63" s="58"/>
      <c r="G63" s="58"/>
      <c r="H63" s="58"/>
      <c r="I63" s="58"/>
      <c r="J63" s="58"/>
      <c r="K63" s="58"/>
      <c r="L63" s="58"/>
      <c r="M63" s="58"/>
      <c r="N63" s="58"/>
      <c r="O63" s="58"/>
      <c r="P63" s="58"/>
      <c r="Q63" s="58"/>
      <c r="R63" s="58"/>
      <c r="S63" s="58"/>
      <c r="T63" s="58"/>
      <c r="U63" s="58"/>
      <c r="V63" s="58"/>
      <c r="W63" s="58"/>
      <c r="X63" s="58"/>
      <c r="Y63" s="58"/>
      <c r="Z63" s="58"/>
    </row>
    <row r="64" spans="1:26" ht="15.75" customHeight="1">
      <c r="A64" s="205" t="s">
        <v>668</v>
      </c>
      <c r="B64" s="58"/>
      <c r="C64" s="58" t="s">
        <v>669</v>
      </c>
      <c r="D64" s="58"/>
      <c r="E64" s="58"/>
      <c r="F64" s="58"/>
      <c r="G64" s="58"/>
      <c r="H64" s="58"/>
      <c r="I64" s="58"/>
      <c r="J64" s="58"/>
      <c r="K64" s="58"/>
      <c r="L64" s="58"/>
      <c r="M64" s="58"/>
      <c r="N64" s="58"/>
      <c r="O64" s="58"/>
      <c r="P64" s="58"/>
      <c r="Q64" s="58"/>
      <c r="R64" s="58"/>
      <c r="S64" s="58"/>
      <c r="T64" s="58"/>
      <c r="U64" s="58"/>
      <c r="V64" s="58"/>
      <c r="W64" s="58"/>
      <c r="X64" s="58"/>
      <c r="Y64" s="58"/>
      <c r="Z64" s="58"/>
    </row>
    <row r="65" spans="1:26" ht="15.75" customHeight="1">
      <c r="A65" s="58" t="s">
        <v>521</v>
      </c>
      <c r="B65" s="58"/>
      <c r="C65" s="58" t="s">
        <v>670</v>
      </c>
      <c r="D65" s="58"/>
      <c r="E65" s="189" t="s">
        <v>671</v>
      </c>
      <c r="F65" s="58"/>
      <c r="G65" s="58"/>
      <c r="H65" s="58"/>
      <c r="I65" s="58"/>
      <c r="J65" s="58"/>
      <c r="K65" s="58"/>
      <c r="L65" s="58"/>
      <c r="M65" s="58"/>
      <c r="N65" s="58"/>
      <c r="O65" s="58"/>
      <c r="P65" s="58"/>
      <c r="Q65" s="58"/>
      <c r="R65" s="58"/>
      <c r="S65" s="58"/>
      <c r="T65" s="58"/>
      <c r="U65" s="58"/>
      <c r="V65" s="58"/>
      <c r="W65" s="58"/>
      <c r="X65" s="58"/>
      <c r="Y65" s="58"/>
      <c r="Z65" s="58"/>
    </row>
    <row r="66" spans="1:26" ht="15.75" customHeight="1">
      <c r="A66" s="190" t="s">
        <v>556</v>
      </c>
      <c r="B66" s="58"/>
      <c r="C66" s="58"/>
      <c r="D66" s="58"/>
      <c r="E66" s="58" t="s">
        <v>672</v>
      </c>
      <c r="F66" s="58"/>
      <c r="G66" s="58"/>
      <c r="H66" s="58"/>
      <c r="I66" s="58"/>
      <c r="J66" s="58"/>
      <c r="K66" s="58"/>
      <c r="L66" s="58"/>
      <c r="M66" s="58"/>
      <c r="N66" s="58"/>
      <c r="O66" s="58"/>
      <c r="P66" s="58"/>
      <c r="Q66" s="58"/>
      <c r="R66" s="58"/>
      <c r="S66" s="58"/>
      <c r="T66" s="58"/>
      <c r="U66" s="58"/>
      <c r="V66" s="58"/>
      <c r="W66" s="58"/>
      <c r="X66" s="58"/>
      <c r="Y66" s="58"/>
      <c r="Z66" s="58"/>
    </row>
    <row r="67" spans="1:26" ht="15.75" customHeight="1">
      <c r="A67" s="58" t="s">
        <v>673</v>
      </c>
      <c r="B67" s="58"/>
      <c r="C67" s="58" t="s">
        <v>674</v>
      </c>
      <c r="D67" s="58"/>
      <c r="E67" s="58" t="s">
        <v>526</v>
      </c>
      <c r="F67" s="58"/>
      <c r="G67" s="58"/>
      <c r="H67" s="58"/>
      <c r="I67" s="58"/>
      <c r="J67" s="58"/>
      <c r="K67" s="58"/>
      <c r="L67" s="58"/>
      <c r="M67" s="58"/>
      <c r="N67" s="58"/>
      <c r="O67" s="58"/>
      <c r="P67" s="58"/>
      <c r="Q67" s="58"/>
      <c r="R67" s="58"/>
      <c r="S67" s="58"/>
      <c r="T67" s="58"/>
      <c r="U67" s="58"/>
      <c r="V67" s="58"/>
      <c r="W67" s="58"/>
      <c r="X67" s="58"/>
      <c r="Y67" s="58"/>
      <c r="Z67" s="58"/>
    </row>
    <row r="68" spans="1:26" ht="15.75" customHeight="1">
      <c r="B68" s="58"/>
      <c r="C68" s="58" t="s">
        <v>675</v>
      </c>
      <c r="D68" s="58"/>
      <c r="E68" s="58" t="s">
        <v>676</v>
      </c>
      <c r="F68" s="58"/>
      <c r="G68" s="58"/>
      <c r="H68" s="58"/>
      <c r="I68" s="58"/>
      <c r="J68" s="58"/>
      <c r="K68" s="58"/>
      <c r="L68" s="58"/>
      <c r="M68" s="58"/>
      <c r="N68" s="58"/>
      <c r="O68" s="58"/>
      <c r="P68" s="58"/>
      <c r="Q68" s="58"/>
      <c r="R68" s="58"/>
      <c r="S68" s="58"/>
      <c r="T68" s="58"/>
      <c r="U68" s="58"/>
      <c r="V68" s="58"/>
      <c r="W68" s="58"/>
      <c r="X68" s="58"/>
      <c r="Y68" s="58"/>
      <c r="Z68" s="58"/>
    </row>
    <row r="69" spans="1:26" ht="15.75" customHeight="1">
      <c r="A69" s="205" t="s">
        <v>677</v>
      </c>
      <c r="B69" s="58"/>
      <c r="C69" s="58"/>
      <c r="D69" s="58"/>
      <c r="E69" s="58" t="s">
        <v>624</v>
      </c>
      <c r="F69" s="58"/>
      <c r="G69" s="58"/>
      <c r="H69" s="58"/>
      <c r="I69" s="58"/>
      <c r="J69" s="58"/>
      <c r="K69" s="58"/>
      <c r="L69" s="58"/>
      <c r="M69" s="58"/>
      <c r="N69" s="58"/>
      <c r="O69" s="58"/>
      <c r="P69" s="58"/>
      <c r="Q69" s="58"/>
      <c r="R69" s="58"/>
      <c r="S69" s="58"/>
      <c r="T69" s="58"/>
      <c r="U69" s="58"/>
      <c r="V69" s="58"/>
      <c r="W69" s="58"/>
      <c r="X69" s="58"/>
      <c r="Y69" s="58"/>
      <c r="Z69" s="58"/>
    </row>
    <row r="70" spans="1:26" ht="15.75" customHeight="1">
      <c r="A70" s="58" t="s">
        <v>521</v>
      </c>
      <c r="B70" s="58"/>
      <c r="C70" s="58" t="s">
        <v>678</v>
      </c>
      <c r="D70" s="58"/>
      <c r="E70" s="58" t="s">
        <v>679</v>
      </c>
      <c r="F70" s="58"/>
      <c r="G70" s="58"/>
      <c r="H70" s="58"/>
      <c r="I70" s="58"/>
      <c r="J70" s="58"/>
      <c r="K70" s="58"/>
      <c r="L70" s="58"/>
      <c r="M70" s="58"/>
      <c r="N70" s="58"/>
      <c r="O70" s="58"/>
      <c r="P70" s="58"/>
      <c r="Q70" s="58"/>
      <c r="R70" s="58"/>
      <c r="S70" s="58"/>
      <c r="T70" s="58"/>
      <c r="U70" s="58"/>
      <c r="V70" s="58"/>
      <c r="W70" s="58"/>
      <c r="X70" s="58"/>
      <c r="Y70" s="58"/>
      <c r="Z70" s="58"/>
    </row>
    <row r="71" spans="1:26" ht="15.75" customHeight="1">
      <c r="A71" s="58" t="s">
        <v>556</v>
      </c>
      <c r="B71" s="58"/>
      <c r="C71" s="58" t="s">
        <v>680</v>
      </c>
      <c r="D71" s="58"/>
      <c r="E71" s="58" t="s">
        <v>681</v>
      </c>
      <c r="F71" s="58"/>
      <c r="G71" s="58"/>
      <c r="H71" s="58"/>
      <c r="I71" s="58"/>
      <c r="J71" s="58"/>
      <c r="K71" s="58"/>
      <c r="L71" s="58"/>
      <c r="M71" s="58"/>
      <c r="N71" s="58"/>
      <c r="O71" s="58"/>
      <c r="P71" s="58"/>
      <c r="Q71" s="58"/>
      <c r="R71" s="58"/>
      <c r="S71" s="58"/>
      <c r="T71" s="58"/>
      <c r="U71" s="58"/>
      <c r="V71" s="58"/>
      <c r="W71" s="58"/>
      <c r="X71" s="58"/>
      <c r="Y71" s="58"/>
      <c r="Z71" s="58"/>
    </row>
    <row r="72" spans="1:26" ht="15.75" customHeight="1">
      <c r="A72" s="58" t="s">
        <v>529</v>
      </c>
      <c r="B72" s="58"/>
      <c r="C72" s="58"/>
      <c r="D72" s="58"/>
      <c r="E72" s="58" t="s">
        <v>682</v>
      </c>
      <c r="F72" s="58"/>
      <c r="G72" s="58"/>
      <c r="H72" s="58"/>
      <c r="I72" s="58"/>
      <c r="J72" s="58"/>
      <c r="K72" s="58"/>
      <c r="L72" s="58"/>
      <c r="M72" s="58"/>
      <c r="N72" s="58"/>
      <c r="O72" s="58"/>
      <c r="P72" s="58"/>
      <c r="Q72" s="58"/>
      <c r="R72" s="58"/>
      <c r="S72" s="58"/>
      <c r="T72" s="58"/>
      <c r="U72" s="58"/>
      <c r="V72" s="58"/>
      <c r="W72" s="58"/>
      <c r="X72" s="58"/>
      <c r="Y72" s="58"/>
      <c r="Z72" s="58"/>
    </row>
    <row r="73" spans="1:26" ht="15.75" customHeight="1">
      <c r="A73" s="58" t="s">
        <v>587</v>
      </c>
      <c r="B73" s="58"/>
      <c r="C73" s="189" t="s">
        <v>683</v>
      </c>
      <c r="D73" s="58"/>
      <c r="E73" s="58" t="s">
        <v>684</v>
      </c>
      <c r="F73" s="58"/>
      <c r="G73" s="58"/>
      <c r="H73" s="58"/>
      <c r="I73" s="58"/>
      <c r="J73" s="58"/>
      <c r="K73" s="58"/>
      <c r="L73" s="58"/>
      <c r="M73" s="58"/>
      <c r="N73" s="58"/>
      <c r="O73" s="58"/>
      <c r="P73" s="58"/>
      <c r="Q73" s="58"/>
      <c r="R73" s="58"/>
      <c r="S73" s="58"/>
      <c r="T73" s="58"/>
      <c r="U73" s="58"/>
      <c r="V73" s="58"/>
      <c r="W73" s="58"/>
      <c r="X73" s="58"/>
      <c r="Y73" s="58"/>
      <c r="Z73" s="58"/>
    </row>
    <row r="74" spans="1:26" ht="15.75" customHeight="1">
      <c r="A74" s="58" t="s">
        <v>539</v>
      </c>
      <c r="B74" s="58"/>
      <c r="C74" s="58" t="s">
        <v>685</v>
      </c>
      <c r="D74" s="58"/>
      <c r="E74" s="58" t="s">
        <v>548</v>
      </c>
      <c r="F74" s="58"/>
      <c r="G74" s="58"/>
      <c r="H74" s="58"/>
      <c r="I74" s="58"/>
      <c r="J74" s="58"/>
      <c r="K74" s="58"/>
      <c r="L74" s="58"/>
      <c r="M74" s="58"/>
      <c r="N74" s="58"/>
      <c r="O74" s="58"/>
      <c r="P74" s="58"/>
      <c r="Q74" s="58"/>
      <c r="R74" s="58"/>
      <c r="S74" s="58"/>
      <c r="T74" s="58"/>
      <c r="U74" s="58"/>
      <c r="V74" s="58"/>
      <c r="W74" s="58"/>
      <c r="X74" s="58"/>
      <c r="Y74" s="58"/>
      <c r="Z74" s="58"/>
    </row>
    <row r="75" spans="1:26" ht="15.75" customHeight="1">
      <c r="A75" s="58" t="s">
        <v>538</v>
      </c>
      <c r="B75" s="58"/>
      <c r="C75" s="58" t="s">
        <v>686</v>
      </c>
      <c r="D75" s="58"/>
      <c r="E75" s="58" t="s">
        <v>687</v>
      </c>
      <c r="F75" s="58"/>
      <c r="G75" s="58"/>
      <c r="H75" s="58"/>
      <c r="I75" s="58"/>
      <c r="J75" s="58"/>
      <c r="K75" s="58"/>
      <c r="L75" s="58"/>
      <c r="M75" s="58"/>
      <c r="N75" s="58"/>
      <c r="O75" s="58"/>
      <c r="P75" s="58"/>
      <c r="Q75" s="58"/>
      <c r="R75" s="58"/>
      <c r="S75" s="58"/>
      <c r="T75" s="58"/>
      <c r="U75" s="58"/>
      <c r="V75" s="58"/>
      <c r="W75" s="58"/>
      <c r="X75" s="58"/>
      <c r="Y75" s="58"/>
      <c r="Z75" s="58"/>
    </row>
    <row r="76" spans="1:26" ht="15.75" customHeight="1">
      <c r="A76" s="58" t="s">
        <v>567</v>
      </c>
      <c r="B76" s="58"/>
      <c r="C76" s="58" t="s">
        <v>688</v>
      </c>
      <c r="D76" s="58"/>
      <c r="E76" s="58" t="s">
        <v>689</v>
      </c>
      <c r="F76" s="58"/>
      <c r="G76" s="58"/>
      <c r="H76" s="58"/>
      <c r="I76" s="58"/>
      <c r="J76" s="58"/>
      <c r="K76" s="58"/>
      <c r="L76" s="58"/>
      <c r="M76" s="58"/>
      <c r="N76" s="58"/>
      <c r="O76" s="58"/>
      <c r="P76" s="58"/>
      <c r="Q76" s="58"/>
      <c r="R76" s="58"/>
      <c r="S76" s="58"/>
      <c r="T76" s="58"/>
      <c r="U76" s="58"/>
      <c r="V76" s="58"/>
      <c r="W76" s="58"/>
      <c r="X76" s="58"/>
      <c r="Y76" s="58"/>
      <c r="Z76" s="58"/>
    </row>
    <row r="77" spans="1:26" ht="15.75" customHeight="1">
      <c r="A77" s="58" t="s">
        <v>690</v>
      </c>
      <c r="B77" s="58"/>
      <c r="C77" s="58" t="s">
        <v>691</v>
      </c>
      <c r="D77" s="58"/>
      <c r="E77" s="58" t="s">
        <v>692</v>
      </c>
      <c r="F77" s="58"/>
      <c r="G77" s="58"/>
      <c r="H77" s="58"/>
      <c r="I77" s="58"/>
      <c r="J77" s="58"/>
      <c r="K77" s="58"/>
      <c r="L77" s="58"/>
      <c r="M77" s="58"/>
      <c r="N77" s="58"/>
      <c r="O77" s="58"/>
      <c r="P77" s="58"/>
      <c r="Q77" s="58"/>
      <c r="R77" s="58"/>
      <c r="S77" s="58"/>
      <c r="T77" s="58"/>
      <c r="U77" s="58"/>
      <c r="V77" s="58"/>
      <c r="W77" s="58"/>
      <c r="X77" s="58"/>
      <c r="Y77" s="58"/>
      <c r="Z77" s="58"/>
    </row>
    <row r="78" spans="1:26" ht="15.75" customHeight="1">
      <c r="A78" s="58" t="s">
        <v>693</v>
      </c>
      <c r="B78" s="58"/>
      <c r="C78" s="58" t="s">
        <v>694</v>
      </c>
      <c r="D78" s="58"/>
      <c r="E78" s="58" t="s">
        <v>695</v>
      </c>
      <c r="F78" s="58"/>
      <c r="G78" s="58"/>
      <c r="H78" s="58"/>
      <c r="I78" s="58"/>
      <c r="J78" s="58"/>
      <c r="K78" s="58"/>
      <c r="L78" s="58"/>
      <c r="M78" s="58"/>
      <c r="N78" s="58"/>
      <c r="O78" s="58"/>
      <c r="P78" s="58"/>
      <c r="Q78" s="58"/>
      <c r="R78" s="58"/>
      <c r="S78" s="58"/>
      <c r="T78" s="58"/>
      <c r="U78" s="58"/>
      <c r="V78" s="58"/>
      <c r="W78" s="58"/>
      <c r="X78" s="58"/>
      <c r="Y78" s="58"/>
      <c r="Z78" s="58"/>
    </row>
    <row r="79" spans="1:26" ht="15.75" customHeight="1">
      <c r="A79" s="58" t="s">
        <v>696</v>
      </c>
      <c r="B79" s="58"/>
      <c r="C79" s="58" t="s">
        <v>697</v>
      </c>
      <c r="D79" s="58"/>
      <c r="E79" s="190" t="s">
        <v>698</v>
      </c>
      <c r="F79" s="58"/>
      <c r="G79" s="58"/>
      <c r="H79" s="58"/>
      <c r="I79" s="58"/>
      <c r="J79" s="58"/>
      <c r="K79" s="58"/>
      <c r="L79" s="58"/>
      <c r="M79" s="58"/>
      <c r="N79" s="58"/>
      <c r="O79" s="58"/>
      <c r="P79" s="58"/>
      <c r="Q79" s="58"/>
      <c r="R79" s="58"/>
      <c r="S79" s="58"/>
      <c r="T79" s="58"/>
      <c r="U79" s="58"/>
      <c r="V79" s="58"/>
      <c r="W79" s="58"/>
      <c r="X79" s="58"/>
      <c r="Y79" s="58"/>
      <c r="Z79" s="58"/>
    </row>
    <row r="80" spans="1:26" ht="15.75" customHeight="1">
      <c r="A80" s="58" t="s">
        <v>699</v>
      </c>
      <c r="B80" s="58"/>
      <c r="C80" s="58" t="s">
        <v>700</v>
      </c>
      <c r="D80" s="58"/>
      <c r="E80" s="190" t="s">
        <v>701</v>
      </c>
      <c r="F80" s="58"/>
      <c r="G80" s="58"/>
      <c r="H80" s="58"/>
      <c r="I80" s="58"/>
      <c r="J80" s="58"/>
      <c r="K80" s="58"/>
      <c r="L80" s="58"/>
      <c r="M80" s="58"/>
      <c r="N80" s="58"/>
      <c r="O80" s="58"/>
      <c r="P80" s="58"/>
      <c r="Q80" s="58"/>
      <c r="R80" s="58"/>
      <c r="S80" s="58"/>
      <c r="T80" s="58"/>
      <c r="U80" s="58"/>
      <c r="V80" s="58"/>
      <c r="W80" s="58"/>
      <c r="X80" s="58"/>
      <c r="Y80" s="58"/>
      <c r="Z80" s="58"/>
    </row>
    <row r="81" spans="1:26" ht="15.75" customHeight="1">
      <c r="B81" s="58"/>
      <c r="C81" s="58" t="s">
        <v>702</v>
      </c>
      <c r="D81" s="58"/>
      <c r="E81" s="58" t="s">
        <v>703</v>
      </c>
      <c r="F81" s="58"/>
      <c r="G81" s="58"/>
      <c r="H81" s="58"/>
      <c r="I81" s="58"/>
      <c r="J81" s="58"/>
      <c r="K81" s="58"/>
      <c r="L81" s="58"/>
      <c r="M81" s="58"/>
      <c r="N81" s="58"/>
      <c r="O81" s="58"/>
      <c r="P81" s="58"/>
      <c r="Q81" s="58"/>
      <c r="R81" s="58"/>
      <c r="S81" s="58"/>
      <c r="T81" s="58"/>
      <c r="U81" s="58"/>
      <c r="V81" s="58"/>
      <c r="W81" s="58"/>
      <c r="X81" s="58"/>
      <c r="Y81" s="58"/>
      <c r="Z81" s="58"/>
    </row>
    <row r="82" spans="1:26" ht="15.75" customHeight="1">
      <c r="C82" s="58" t="s">
        <v>704</v>
      </c>
      <c r="D82" s="58"/>
      <c r="E82" s="190" t="s">
        <v>705</v>
      </c>
      <c r="F82" s="58"/>
      <c r="G82" s="58"/>
      <c r="H82" s="58"/>
      <c r="I82" s="58"/>
      <c r="J82" s="58"/>
      <c r="K82" s="58"/>
      <c r="L82" s="58"/>
      <c r="M82" s="58"/>
      <c r="N82" s="58"/>
      <c r="O82" s="58"/>
      <c r="P82" s="58"/>
      <c r="Q82" s="58"/>
      <c r="R82" s="58"/>
      <c r="S82" s="58"/>
      <c r="T82" s="58"/>
      <c r="U82" s="58"/>
      <c r="V82" s="58"/>
      <c r="W82" s="58"/>
      <c r="X82" s="58"/>
      <c r="Y82" s="58"/>
      <c r="Z82" s="58"/>
    </row>
    <row r="83" spans="1:26" ht="15.75" customHeight="1">
      <c r="A83" s="189" t="s">
        <v>706</v>
      </c>
      <c r="B83" s="58"/>
      <c r="C83" s="58" t="s">
        <v>707</v>
      </c>
      <c r="D83" s="58"/>
      <c r="E83" s="190" t="s">
        <v>708</v>
      </c>
      <c r="F83" s="58"/>
      <c r="G83" s="58"/>
      <c r="H83" s="58"/>
      <c r="I83" s="58"/>
      <c r="J83" s="58"/>
      <c r="K83" s="58"/>
      <c r="L83" s="58"/>
      <c r="M83" s="58"/>
      <c r="N83" s="58"/>
      <c r="O83" s="58"/>
      <c r="P83" s="58"/>
      <c r="Q83" s="58"/>
      <c r="R83" s="58"/>
      <c r="S83" s="58"/>
      <c r="T83" s="58"/>
      <c r="U83" s="58"/>
      <c r="V83" s="58"/>
      <c r="W83" s="58"/>
      <c r="X83" s="58"/>
      <c r="Y83" s="58"/>
      <c r="Z83" s="58"/>
    </row>
    <row r="84" spans="1:26" ht="15.75" customHeight="1">
      <c r="A84" s="190" t="s">
        <v>709</v>
      </c>
      <c r="B84" s="58"/>
      <c r="C84" s="58" t="s">
        <v>710</v>
      </c>
      <c r="D84" s="58"/>
      <c r="E84" s="58"/>
      <c r="F84" s="58"/>
      <c r="G84" s="58"/>
      <c r="H84" s="58"/>
      <c r="I84" s="58"/>
      <c r="J84" s="58"/>
      <c r="K84" s="58"/>
      <c r="L84" s="58"/>
      <c r="M84" s="58"/>
      <c r="N84" s="58"/>
      <c r="O84" s="58"/>
      <c r="P84" s="58"/>
      <c r="Q84" s="58"/>
      <c r="R84" s="58"/>
      <c r="S84" s="58"/>
      <c r="T84" s="58"/>
      <c r="U84" s="58"/>
      <c r="V84" s="58"/>
      <c r="W84" s="58"/>
      <c r="X84" s="58"/>
      <c r="Y84" s="58"/>
      <c r="Z84" s="58"/>
    </row>
    <row r="85" spans="1:26" ht="15.75" customHeight="1">
      <c r="A85" s="190" t="s">
        <v>525</v>
      </c>
      <c r="B85" s="58"/>
      <c r="C85" s="190" t="s">
        <v>711</v>
      </c>
      <c r="D85" s="58"/>
      <c r="E85" s="189" t="s">
        <v>712</v>
      </c>
      <c r="F85" s="58"/>
      <c r="G85" s="58"/>
      <c r="H85" s="58"/>
      <c r="I85" s="58"/>
      <c r="J85" s="58"/>
      <c r="K85" s="58"/>
      <c r="L85" s="58"/>
      <c r="M85" s="58"/>
      <c r="N85" s="58"/>
      <c r="O85" s="58"/>
      <c r="P85" s="58"/>
      <c r="Q85" s="58"/>
      <c r="R85" s="58"/>
      <c r="S85" s="58"/>
      <c r="T85" s="58"/>
      <c r="U85" s="58"/>
      <c r="V85" s="58"/>
      <c r="W85" s="58"/>
      <c r="X85" s="58"/>
      <c r="Y85" s="58"/>
      <c r="Z85" s="58"/>
    </row>
    <row r="86" spans="1:26" ht="15.75" customHeight="1">
      <c r="A86" s="190" t="s">
        <v>596</v>
      </c>
      <c r="B86" s="58"/>
      <c r="C86" s="58"/>
      <c r="D86" s="58"/>
      <c r="E86" s="190" t="s">
        <v>713</v>
      </c>
      <c r="F86" s="58"/>
      <c r="G86" s="58"/>
      <c r="H86" s="58"/>
      <c r="I86" s="58"/>
      <c r="J86" s="58"/>
      <c r="K86" s="58"/>
      <c r="L86" s="58"/>
      <c r="M86" s="58"/>
      <c r="N86" s="58"/>
      <c r="O86" s="58"/>
      <c r="P86" s="58"/>
      <c r="Q86" s="58"/>
      <c r="R86" s="58"/>
      <c r="S86" s="58"/>
      <c r="T86" s="58"/>
      <c r="U86" s="58"/>
      <c r="V86" s="58"/>
      <c r="W86" s="58"/>
      <c r="X86" s="58"/>
      <c r="Y86" s="58"/>
      <c r="Z86" s="58"/>
    </row>
    <row r="87" spans="1:26" ht="15.75" customHeight="1">
      <c r="A87" s="190" t="s">
        <v>586</v>
      </c>
      <c r="B87" s="58"/>
      <c r="C87" s="189" t="s">
        <v>714</v>
      </c>
      <c r="D87" s="58"/>
      <c r="E87" s="58" t="s">
        <v>638</v>
      </c>
      <c r="F87" s="58"/>
      <c r="G87" s="58"/>
      <c r="H87" s="58"/>
      <c r="I87" s="58"/>
      <c r="J87" s="58"/>
      <c r="K87" s="58"/>
      <c r="L87" s="58"/>
      <c r="M87" s="58"/>
      <c r="N87" s="58"/>
      <c r="O87" s="58"/>
      <c r="P87" s="58"/>
      <c r="Q87" s="58"/>
      <c r="R87" s="58"/>
      <c r="S87" s="58"/>
      <c r="T87" s="58"/>
      <c r="U87" s="58"/>
      <c r="V87" s="58"/>
      <c r="W87" s="58"/>
      <c r="X87" s="58"/>
      <c r="Y87" s="58"/>
      <c r="Z87" s="58"/>
    </row>
    <row r="88" spans="1:26" ht="15.75" customHeight="1">
      <c r="A88" s="190" t="s">
        <v>715</v>
      </c>
      <c r="B88" s="58"/>
      <c r="C88" s="190" t="s">
        <v>521</v>
      </c>
      <c r="D88" s="58"/>
      <c r="E88" s="58" t="s">
        <v>640</v>
      </c>
      <c r="F88" s="58"/>
      <c r="G88" s="58"/>
      <c r="H88" s="58"/>
      <c r="I88" s="58"/>
      <c r="J88" s="58"/>
      <c r="K88" s="58"/>
      <c r="L88" s="58"/>
      <c r="M88" s="58"/>
      <c r="N88" s="58"/>
      <c r="O88" s="58"/>
      <c r="P88" s="58"/>
      <c r="Q88" s="58"/>
      <c r="R88" s="58"/>
      <c r="S88" s="58"/>
      <c r="T88" s="58"/>
      <c r="U88" s="58"/>
      <c r="V88" s="58"/>
      <c r="W88" s="58"/>
      <c r="X88" s="58"/>
      <c r="Y88" s="58"/>
      <c r="Z88" s="58"/>
    </row>
    <row r="89" spans="1:26" ht="15.75" customHeight="1">
      <c r="A89" s="190" t="s">
        <v>716</v>
      </c>
      <c r="B89" s="58"/>
      <c r="C89" s="58" t="s">
        <v>556</v>
      </c>
      <c r="D89" s="58"/>
      <c r="E89" s="190" t="s">
        <v>717</v>
      </c>
      <c r="F89" s="58"/>
      <c r="G89" s="58"/>
      <c r="H89" s="58"/>
      <c r="I89" s="58"/>
      <c r="J89" s="58"/>
      <c r="K89" s="58"/>
      <c r="L89" s="58"/>
      <c r="M89" s="58"/>
      <c r="N89" s="58"/>
      <c r="O89" s="58"/>
      <c r="P89" s="58"/>
      <c r="Q89" s="58"/>
      <c r="R89" s="58"/>
      <c r="S89" s="58"/>
      <c r="T89" s="58"/>
      <c r="U89" s="58"/>
      <c r="V89" s="58"/>
      <c r="W89" s="58"/>
      <c r="X89" s="58"/>
      <c r="Y89" s="58"/>
      <c r="Z89" s="58"/>
    </row>
    <row r="90" spans="1:26" ht="15.75" customHeight="1">
      <c r="A90" s="58"/>
      <c r="B90" s="58"/>
      <c r="C90" s="58" t="s">
        <v>529</v>
      </c>
      <c r="D90" s="58"/>
      <c r="E90" s="190" t="s">
        <v>718</v>
      </c>
      <c r="F90" s="58"/>
      <c r="G90" s="58"/>
      <c r="H90" s="58"/>
      <c r="I90" s="58"/>
      <c r="J90" s="58"/>
      <c r="K90" s="58"/>
      <c r="L90" s="58"/>
      <c r="M90" s="58"/>
      <c r="N90" s="58"/>
      <c r="O90" s="58"/>
      <c r="P90" s="58"/>
      <c r="Q90" s="58"/>
      <c r="R90" s="58"/>
      <c r="S90" s="58"/>
      <c r="T90" s="58"/>
      <c r="U90" s="58"/>
      <c r="V90" s="58"/>
      <c r="W90" s="58"/>
      <c r="X90" s="58"/>
      <c r="Y90" s="58"/>
      <c r="Z90" s="58"/>
    </row>
    <row r="91" spans="1:26" ht="15.75" customHeight="1">
      <c r="A91" s="189" t="s">
        <v>462</v>
      </c>
      <c r="B91" s="58"/>
      <c r="C91" s="190" t="s">
        <v>719</v>
      </c>
      <c r="D91" s="58"/>
      <c r="E91" s="190" t="s">
        <v>720</v>
      </c>
      <c r="F91" s="58"/>
      <c r="G91" s="58"/>
      <c r="H91" s="58"/>
      <c r="I91" s="58"/>
      <c r="J91" s="58"/>
      <c r="K91" s="58"/>
      <c r="L91" s="58"/>
      <c r="M91" s="58"/>
      <c r="N91" s="58"/>
      <c r="O91" s="58"/>
      <c r="P91" s="58"/>
      <c r="Q91" s="58"/>
      <c r="R91" s="58"/>
      <c r="S91" s="58"/>
      <c r="T91" s="58"/>
      <c r="U91" s="58"/>
      <c r="V91" s="58"/>
      <c r="W91" s="58"/>
      <c r="X91" s="58"/>
      <c r="Y91" s="58"/>
      <c r="Z91" s="58"/>
    </row>
    <row r="92" spans="1:26" ht="15.75" customHeight="1">
      <c r="A92" s="190" t="s">
        <v>721</v>
      </c>
      <c r="B92" s="58"/>
      <c r="C92" s="58" t="s">
        <v>539</v>
      </c>
      <c r="D92" s="58"/>
      <c r="E92" s="190" t="s">
        <v>722</v>
      </c>
      <c r="F92" s="58"/>
      <c r="G92" s="58"/>
      <c r="H92" s="58"/>
      <c r="I92" s="58"/>
      <c r="J92" s="58"/>
      <c r="K92" s="58"/>
      <c r="L92" s="58"/>
      <c r="M92" s="58"/>
      <c r="N92" s="58"/>
      <c r="O92" s="58"/>
      <c r="P92" s="58"/>
      <c r="Q92" s="58"/>
      <c r="R92" s="58"/>
      <c r="S92" s="58"/>
      <c r="T92" s="58"/>
      <c r="U92" s="58"/>
      <c r="V92" s="58"/>
      <c r="W92" s="58"/>
      <c r="X92" s="58"/>
      <c r="Y92" s="58"/>
      <c r="Z92" s="58"/>
    </row>
    <row r="93" spans="1:26" ht="15.75" customHeight="1">
      <c r="A93" s="190" t="s">
        <v>464</v>
      </c>
      <c r="B93" s="58"/>
      <c r="C93" s="58" t="s">
        <v>538</v>
      </c>
      <c r="D93" s="58"/>
      <c r="E93" s="190" t="s">
        <v>723</v>
      </c>
      <c r="F93" s="58"/>
      <c r="G93" s="58"/>
      <c r="H93" s="58"/>
      <c r="I93" s="58"/>
      <c r="J93" s="58"/>
      <c r="K93" s="58"/>
      <c r="L93" s="58"/>
      <c r="M93" s="58"/>
      <c r="N93" s="58"/>
      <c r="O93" s="58"/>
      <c r="P93" s="58"/>
      <c r="Q93" s="58"/>
      <c r="R93" s="58"/>
      <c r="S93" s="58"/>
      <c r="T93" s="58"/>
      <c r="U93" s="58"/>
      <c r="V93" s="58"/>
      <c r="W93" s="58"/>
      <c r="X93" s="58"/>
      <c r="Y93" s="58"/>
      <c r="Z93" s="58"/>
    </row>
    <row r="94" spans="1:26" ht="15.75" customHeight="1">
      <c r="A94" s="190" t="s">
        <v>465</v>
      </c>
      <c r="B94" s="58"/>
      <c r="C94" s="58" t="s">
        <v>567</v>
      </c>
      <c r="D94" s="58"/>
      <c r="E94" s="190" t="s">
        <v>724</v>
      </c>
      <c r="F94" s="58"/>
      <c r="G94" s="58"/>
      <c r="H94" s="58"/>
      <c r="I94" s="58"/>
      <c r="J94" s="58"/>
      <c r="K94" s="58"/>
      <c r="L94" s="58"/>
      <c r="M94" s="58"/>
      <c r="N94" s="58"/>
      <c r="O94" s="58"/>
      <c r="P94" s="58"/>
      <c r="Q94" s="58"/>
      <c r="R94" s="58"/>
      <c r="S94" s="58"/>
      <c r="T94" s="58"/>
      <c r="U94" s="58"/>
      <c r="V94" s="58"/>
      <c r="W94" s="58"/>
      <c r="X94" s="58"/>
      <c r="Y94" s="58"/>
      <c r="Z94" s="58"/>
    </row>
    <row r="95" spans="1:26" ht="15.75" customHeight="1">
      <c r="A95" s="190" t="s">
        <v>466</v>
      </c>
      <c r="B95" s="58"/>
      <c r="C95" s="201" t="s">
        <v>725</v>
      </c>
      <c r="D95" s="58"/>
      <c r="E95" s="190" t="s">
        <v>726</v>
      </c>
      <c r="F95" s="58"/>
      <c r="G95" s="58"/>
      <c r="H95" s="58"/>
      <c r="I95" s="58"/>
      <c r="J95" s="58"/>
      <c r="K95" s="58"/>
      <c r="L95" s="58"/>
      <c r="M95" s="58"/>
      <c r="N95" s="58"/>
      <c r="O95" s="58"/>
      <c r="P95" s="58"/>
      <c r="Q95" s="58"/>
      <c r="R95" s="58"/>
      <c r="S95" s="58"/>
      <c r="T95" s="58"/>
      <c r="U95" s="58"/>
      <c r="V95" s="58"/>
      <c r="W95" s="58"/>
      <c r="X95" s="58"/>
      <c r="Y95" s="58"/>
      <c r="Z95" s="58"/>
    </row>
    <row r="96" spans="1:26" ht="15.75" customHeight="1">
      <c r="A96" s="190" t="s">
        <v>448</v>
      </c>
      <c r="B96" s="58"/>
      <c r="C96" s="58"/>
      <c r="D96" s="58"/>
      <c r="E96" s="190" t="s">
        <v>727</v>
      </c>
      <c r="F96" s="58"/>
      <c r="G96" s="58"/>
      <c r="H96" s="58"/>
      <c r="I96" s="58"/>
      <c r="J96" s="58"/>
      <c r="K96" s="58"/>
      <c r="L96" s="58"/>
      <c r="M96" s="58"/>
      <c r="N96" s="58"/>
      <c r="O96" s="58"/>
      <c r="P96" s="58"/>
      <c r="Q96" s="58"/>
      <c r="R96" s="58"/>
      <c r="S96" s="58"/>
      <c r="T96" s="58"/>
      <c r="U96" s="58"/>
      <c r="V96" s="58"/>
      <c r="W96" s="58"/>
      <c r="X96" s="58"/>
      <c r="Y96" s="58"/>
      <c r="Z96" s="58"/>
    </row>
    <row r="97" spans="1:26" ht="15.75" customHeight="1">
      <c r="A97" s="190" t="s">
        <v>540</v>
      </c>
      <c r="B97" s="58"/>
      <c r="C97" s="189" t="s">
        <v>728</v>
      </c>
      <c r="D97" s="58"/>
      <c r="E97" s="190" t="s">
        <v>729</v>
      </c>
      <c r="F97" s="58"/>
      <c r="G97" s="58"/>
      <c r="H97" s="58"/>
      <c r="I97" s="58"/>
      <c r="J97" s="58"/>
      <c r="K97" s="58"/>
      <c r="L97" s="58"/>
      <c r="M97" s="58"/>
      <c r="N97" s="58"/>
      <c r="O97" s="58"/>
      <c r="P97" s="58"/>
      <c r="Q97" s="58"/>
      <c r="R97" s="58"/>
      <c r="S97" s="58"/>
      <c r="T97" s="58"/>
      <c r="U97" s="58"/>
      <c r="V97" s="58"/>
      <c r="W97" s="58"/>
      <c r="X97" s="58"/>
      <c r="Y97" s="58"/>
      <c r="Z97" s="58"/>
    </row>
    <row r="98" spans="1:26" ht="15.75" customHeight="1">
      <c r="A98" s="58" t="s">
        <v>542</v>
      </c>
      <c r="B98" s="58"/>
      <c r="C98" s="58" t="s">
        <v>592</v>
      </c>
      <c r="D98" s="58"/>
      <c r="E98" s="190" t="s">
        <v>730</v>
      </c>
      <c r="F98" s="58"/>
      <c r="G98" s="58"/>
      <c r="H98" s="58"/>
      <c r="I98" s="58"/>
      <c r="J98" s="58"/>
      <c r="K98" s="58"/>
      <c r="L98" s="58"/>
      <c r="M98" s="58"/>
      <c r="N98" s="58"/>
      <c r="O98" s="58"/>
      <c r="P98" s="58"/>
      <c r="Q98" s="58"/>
      <c r="R98" s="58"/>
      <c r="S98" s="58"/>
      <c r="T98" s="58"/>
      <c r="U98" s="58"/>
      <c r="V98" s="58"/>
      <c r="W98" s="58"/>
      <c r="X98" s="58"/>
      <c r="Y98" s="58"/>
      <c r="Z98" s="58"/>
    </row>
    <row r="99" spans="1:26" ht="15.75" customHeight="1">
      <c r="A99" s="190" t="s">
        <v>450</v>
      </c>
      <c r="B99" s="58"/>
      <c r="C99" s="58" t="s">
        <v>731</v>
      </c>
      <c r="D99" s="58"/>
      <c r="E99" s="58"/>
      <c r="F99" s="58"/>
      <c r="G99" s="58"/>
      <c r="H99" s="58"/>
      <c r="I99" s="58"/>
      <c r="J99" s="58"/>
      <c r="K99" s="58"/>
      <c r="L99" s="58"/>
      <c r="M99" s="58"/>
      <c r="N99" s="58"/>
      <c r="O99" s="58"/>
      <c r="P99" s="58"/>
      <c r="Q99" s="58"/>
      <c r="R99" s="58"/>
      <c r="S99" s="58"/>
      <c r="T99" s="58"/>
      <c r="U99" s="58"/>
      <c r="V99" s="58"/>
      <c r="W99" s="58"/>
      <c r="X99" s="58"/>
      <c r="Y99" s="58"/>
      <c r="Z99" s="58"/>
    </row>
    <row r="100" spans="1:26" ht="15.75" customHeight="1">
      <c r="A100" s="190" t="s">
        <v>467</v>
      </c>
      <c r="B100" s="58"/>
      <c r="C100" s="58" t="s">
        <v>732</v>
      </c>
      <c r="D100" s="58"/>
      <c r="E100" s="58"/>
      <c r="F100" s="58"/>
      <c r="G100" s="58"/>
      <c r="H100" s="58"/>
      <c r="I100" s="58"/>
      <c r="J100" s="58"/>
      <c r="K100" s="58"/>
      <c r="L100" s="58"/>
      <c r="M100" s="58"/>
      <c r="N100" s="58"/>
      <c r="O100" s="58"/>
      <c r="P100" s="58"/>
      <c r="Q100" s="58"/>
      <c r="R100" s="58"/>
      <c r="S100" s="58"/>
      <c r="T100" s="58"/>
      <c r="U100" s="58"/>
      <c r="V100" s="58"/>
      <c r="W100" s="58"/>
      <c r="X100" s="58"/>
      <c r="Y100" s="58"/>
      <c r="Z100" s="58"/>
    </row>
    <row r="101" spans="1:26" ht="15.75" customHeight="1">
      <c r="A101" s="58" t="s">
        <v>548</v>
      </c>
      <c r="B101" s="58"/>
      <c r="C101" s="58" t="s">
        <v>733</v>
      </c>
      <c r="D101" s="58"/>
      <c r="E101" s="58" t="s">
        <v>734</v>
      </c>
      <c r="F101" s="58"/>
      <c r="G101" s="58"/>
      <c r="H101" s="58"/>
      <c r="I101" s="58"/>
      <c r="J101" s="58"/>
      <c r="K101" s="58"/>
      <c r="L101" s="58"/>
      <c r="M101" s="58"/>
      <c r="N101" s="58"/>
      <c r="O101" s="58"/>
      <c r="P101" s="58"/>
      <c r="Q101" s="58"/>
      <c r="R101" s="58"/>
      <c r="S101" s="58"/>
      <c r="T101" s="58"/>
      <c r="U101" s="58"/>
      <c r="V101" s="58"/>
      <c r="W101" s="58"/>
      <c r="X101" s="58"/>
      <c r="Y101" s="58"/>
      <c r="Z101" s="58"/>
    </row>
    <row r="102" spans="1:26" ht="15.75" customHeight="1">
      <c r="A102" s="190" t="s">
        <v>468</v>
      </c>
      <c r="B102" s="58"/>
      <c r="C102" s="58" t="s">
        <v>735</v>
      </c>
      <c r="D102" s="58"/>
      <c r="E102" s="58" t="s">
        <v>736</v>
      </c>
      <c r="F102" s="58"/>
      <c r="G102" s="58"/>
      <c r="H102" s="58"/>
      <c r="I102" s="58"/>
      <c r="J102" s="58"/>
      <c r="K102" s="58"/>
      <c r="L102" s="58"/>
      <c r="M102" s="58"/>
      <c r="N102" s="58"/>
      <c r="O102" s="58"/>
      <c r="P102" s="58"/>
      <c r="Q102" s="58"/>
      <c r="R102" s="58"/>
      <c r="S102" s="58"/>
      <c r="T102" s="58"/>
      <c r="U102" s="58"/>
      <c r="V102" s="58"/>
      <c r="W102" s="58"/>
      <c r="X102" s="58"/>
      <c r="Y102" s="58"/>
      <c r="Z102" s="58"/>
    </row>
    <row r="103" spans="1:26" ht="15.75" customHeight="1">
      <c r="A103" s="201" t="s">
        <v>737</v>
      </c>
      <c r="B103" s="58"/>
      <c r="C103" s="58" t="s">
        <v>738</v>
      </c>
      <c r="D103" s="58"/>
      <c r="E103" s="58" t="s">
        <v>739</v>
      </c>
      <c r="F103" s="58"/>
      <c r="G103" s="58"/>
      <c r="H103" s="58"/>
      <c r="I103" s="58"/>
      <c r="J103" s="58"/>
      <c r="K103" s="58"/>
      <c r="L103" s="58"/>
      <c r="M103" s="58"/>
      <c r="N103" s="58"/>
      <c r="O103" s="58"/>
      <c r="P103" s="58"/>
      <c r="Q103" s="58"/>
      <c r="R103" s="58"/>
      <c r="S103" s="58"/>
      <c r="T103" s="58"/>
      <c r="U103" s="58"/>
      <c r="V103" s="58"/>
      <c r="W103" s="58"/>
      <c r="X103" s="58"/>
      <c r="Y103" s="58"/>
      <c r="Z103" s="58"/>
    </row>
    <row r="104" spans="1:26" ht="15.75" customHeight="1">
      <c r="A104" s="190" t="s">
        <v>740</v>
      </c>
      <c r="B104" s="58"/>
      <c r="C104" s="58" t="s">
        <v>741</v>
      </c>
      <c r="D104" s="58"/>
      <c r="E104" s="58" t="s">
        <v>742</v>
      </c>
      <c r="F104" s="58"/>
      <c r="G104" s="58"/>
      <c r="H104" s="58"/>
      <c r="I104" s="58"/>
      <c r="J104" s="58"/>
      <c r="K104" s="58"/>
      <c r="L104" s="58"/>
      <c r="M104" s="58"/>
      <c r="N104" s="58"/>
      <c r="O104" s="58"/>
      <c r="P104" s="58"/>
      <c r="Q104" s="58"/>
      <c r="R104" s="58"/>
      <c r="S104" s="58"/>
      <c r="T104" s="58"/>
      <c r="U104" s="58"/>
      <c r="V104" s="58"/>
      <c r="W104" s="58"/>
      <c r="X104" s="58"/>
      <c r="Y104" s="58"/>
      <c r="Z104" s="58"/>
    </row>
    <row r="105" spans="1:26" ht="15.75" customHeight="1">
      <c r="A105" s="190" t="s">
        <v>743</v>
      </c>
      <c r="B105" s="58"/>
      <c r="C105" s="58" t="s">
        <v>744</v>
      </c>
      <c r="D105" s="58"/>
      <c r="E105" s="58" t="s">
        <v>745</v>
      </c>
      <c r="F105" s="58"/>
      <c r="G105" s="58"/>
      <c r="H105" s="58"/>
      <c r="I105" s="58"/>
      <c r="J105" s="58"/>
      <c r="K105" s="58"/>
      <c r="L105" s="58"/>
      <c r="M105" s="58"/>
      <c r="N105" s="58"/>
      <c r="O105" s="58"/>
      <c r="P105" s="58"/>
      <c r="Q105" s="58"/>
      <c r="R105" s="58"/>
      <c r="S105" s="58"/>
      <c r="T105" s="58"/>
      <c r="U105" s="58"/>
      <c r="V105" s="58"/>
      <c r="W105" s="58"/>
      <c r="X105" s="58"/>
      <c r="Y105" s="58"/>
      <c r="Z105" s="58"/>
    </row>
    <row r="106" spans="1:26" ht="15.75" customHeight="1">
      <c r="A106" s="190" t="s">
        <v>746</v>
      </c>
      <c r="B106" s="58"/>
      <c r="C106" s="58" t="s">
        <v>747</v>
      </c>
      <c r="D106" s="58"/>
      <c r="E106" s="58" t="s">
        <v>748</v>
      </c>
      <c r="F106" s="58"/>
      <c r="G106" s="58"/>
      <c r="H106" s="58"/>
      <c r="I106" s="58"/>
      <c r="J106" s="58"/>
      <c r="K106" s="58"/>
      <c r="L106" s="58"/>
      <c r="M106" s="58"/>
      <c r="N106" s="58"/>
      <c r="O106" s="58"/>
      <c r="P106" s="58"/>
      <c r="Q106" s="58"/>
      <c r="R106" s="58"/>
      <c r="S106" s="58"/>
      <c r="T106" s="58"/>
      <c r="U106" s="58"/>
      <c r="V106" s="58"/>
      <c r="W106" s="58"/>
      <c r="X106" s="58"/>
      <c r="Y106" s="58"/>
      <c r="Z106" s="58"/>
    </row>
    <row r="107" spans="1:26" ht="15.75" customHeight="1">
      <c r="A107" s="190" t="s">
        <v>749</v>
      </c>
      <c r="B107" s="58"/>
      <c r="C107" s="190" t="s">
        <v>750</v>
      </c>
      <c r="D107" s="58"/>
      <c r="E107" s="58" t="s">
        <v>751</v>
      </c>
      <c r="F107" s="58"/>
      <c r="G107" s="58"/>
      <c r="H107" s="58"/>
      <c r="I107" s="58"/>
      <c r="J107" s="58"/>
      <c r="K107" s="58"/>
      <c r="L107" s="58"/>
      <c r="M107" s="58"/>
      <c r="N107" s="58"/>
      <c r="O107" s="58"/>
      <c r="P107" s="58"/>
      <c r="Q107" s="58"/>
      <c r="R107" s="58"/>
      <c r="S107" s="58"/>
      <c r="T107" s="58"/>
      <c r="U107" s="58"/>
      <c r="V107" s="58"/>
      <c r="W107" s="58"/>
      <c r="X107" s="58"/>
      <c r="Y107" s="58"/>
      <c r="Z107" s="58"/>
    </row>
    <row r="108" spans="1:26" ht="15.75" customHeight="1">
      <c r="A108" s="190" t="s">
        <v>752</v>
      </c>
      <c r="B108" s="58"/>
      <c r="C108" s="207" t="s">
        <v>753</v>
      </c>
      <c r="D108" s="58"/>
      <c r="E108" s="58" t="s">
        <v>754</v>
      </c>
      <c r="F108" s="58"/>
      <c r="G108" s="58"/>
      <c r="H108" s="58"/>
      <c r="I108" s="58"/>
      <c r="J108" s="58"/>
      <c r="K108" s="58"/>
      <c r="L108" s="58"/>
      <c r="M108" s="58"/>
      <c r="N108" s="58"/>
      <c r="O108" s="58"/>
      <c r="P108" s="58"/>
      <c r="Q108" s="58"/>
      <c r="R108" s="58"/>
      <c r="S108" s="58"/>
      <c r="T108" s="58"/>
      <c r="U108" s="58"/>
      <c r="V108" s="58"/>
      <c r="W108" s="58"/>
      <c r="X108" s="58"/>
      <c r="Y108" s="58"/>
      <c r="Z108" s="58"/>
    </row>
    <row r="109" spans="1:26" ht="15.75" customHeight="1">
      <c r="A109" s="190" t="s">
        <v>755</v>
      </c>
      <c r="B109" s="58"/>
      <c r="C109" s="58"/>
      <c r="D109" s="58"/>
      <c r="E109" s="58" t="s">
        <v>756</v>
      </c>
      <c r="F109" s="58"/>
      <c r="G109" s="58"/>
      <c r="H109" s="58"/>
      <c r="I109" s="58"/>
      <c r="J109" s="58"/>
      <c r="K109" s="58"/>
      <c r="L109" s="58"/>
      <c r="M109" s="58"/>
      <c r="N109" s="58"/>
      <c r="O109" s="58"/>
      <c r="P109" s="58"/>
      <c r="Q109" s="58"/>
      <c r="R109" s="58"/>
      <c r="S109" s="58"/>
      <c r="T109" s="58"/>
      <c r="U109" s="58"/>
      <c r="V109" s="58"/>
      <c r="W109" s="58"/>
      <c r="X109" s="58"/>
      <c r="Y109" s="58"/>
      <c r="Z109" s="58"/>
    </row>
    <row r="110" spans="1:26" ht="15.75" customHeight="1">
      <c r="A110" s="190" t="s">
        <v>757</v>
      </c>
      <c r="B110" s="58"/>
      <c r="C110" s="58"/>
      <c r="D110" s="58"/>
      <c r="E110" s="58"/>
      <c r="F110" s="58"/>
      <c r="G110" s="58"/>
      <c r="H110" s="58"/>
      <c r="I110" s="58"/>
      <c r="J110" s="58"/>
      <c r="K110" s="58"/>
      <c r="L110" s="58"/>
      <c r="M110" s="58"/>
      <c r="N110" s="58"/>
      <c r="O110" s="58"/>
      <c r="P110" s="58"/>
      <c r="Q110" s="58"/>
      <c r="R110" s="58"/>
      <c r="S110" s="58"/>
      <c r="T110" s="58"/>
      <c r="U110" s="58"/>
      <c r="V110" s="58"/>
      <c r="W110" s="58"/>
      <c r="X110" s="58"/>
      <c r="Y110" s="58"/>
      <c r="Z110" s="58"/>
    </row>
    <row r="111" spans="1:26" ht="15.75" customHeight="1">
      <c r="A111" s="190" t="s">
        <v>758</v>
      </c>
      <c r="B111" s="58"/>
      <c r="C111" s="58"/>
      <c r="D111" s="58"/>
      <c r="E111" s="58"/>
      <c r="F111" s="58"/>
      <c r="G111" s="58"/>
      <c r="H111" s="58"/>
      <c r="I111" s="58"/>
      <c r="J111" s="58"/>
      <c r="K111" s="58"/>
      <c r="L111" s="58"/>
      <c r="M111" s="58"/>
      <c r="N111" s="58"/>
      <c r="O111" s="58"/>
      <c r="P111" s="58"/>
      <c r="Q111" s="58"/>
      <c r="R111" s="58"/>
      <c r="S111" s="58"/>
      <c r="T111" s="58"/>
      <c r="U111" s="58"/>
      <c r="V111" s="58"/>
      <c r="W111" s="58"/>
      <c r="X111" s="58"/>
      <c r="Y111" s="58"/>
      <c r="Z111" s="58"/>
    </row>
    <row r="112" spans="1:26" ht="15.75" customHeight="1">
      <c r="A112" s="190" t="s">
        <v>759</v>
      </c>
      <c r="B112" s="58"/>
      <c r="C112" s="190" t="s">
        <v>760</v>
      </c>
      <c r="D112" s="58"/>
      <c r="E112" s="58" t="s">
        <v>761</v>
      </c>
      <c r="F112" s="58"/>
      <c r="G112" s="58"/>
      <c r="H112" s="58"/>
      <c r="I112" s="58"/>
      <c r="J112" s="58"/>
      <c r="K112" s="58"/>
      <c r="L112" s="58"/>
      <c r="M112" s="58"/>
      <c r="N112" s="58"/>
      <c r="O112" s="58"/>
      <c r="P112" s="58"/>
      <c r="Q112" s="58"/>
      <c r="R112" s="58"/>
      <c r="S112" s="58"/>
      <c r="T112" s="58"/>
      <c r="U112" s="58"/>
      <c r="V112" s="58"/>
      <c r="W112" s="58"/>
      <c r="X112" s="58"/>
      <c r="Y112" s="58"/>
      <c r="Z112" s="58"/>
    </row>
    <row r="113" spans="1:26" ht="15.75" customHeight="1">
      <c r="A113" s="208" t="s">
        <v>762</v>
      </c>
      <c r="B113" s="58"/>
      <c r="C113" s="190" t="s">
        <v>521</v>
      </c>
      <c r="D113" s="58"/>
      <c r="E113" s="58" t="s">
        <v>736</v>
      </c>
      <c r="F113" s="58"/>
      <c r="G113" s="58"/>
      <c r="H113" s="58"/>
      <c r="I113" s="58"/>
      <c r="J113" s="58"/>
      <c r="K113" s="58"/>
      <c r="L113" s="58"/>
      <c r="M113" s="58"/>
      <c r="N113" s="58"/>
      <c r="O113" s="58"/>
      <c r="P113" s="58"/>
      <c r="Q113" s="58"/>
      <c r="R113" s="58"/>
      <c r="S113" s="58"/>
      <c r="T113" s="58"/>
      <c r="U113" s="58"/>
      <c r="V113" s="58"/>
      <c r="W113" s="58"/>
      <c r="X113" s="58"/>
      <c r="Y113" s="58"/>
      <c r="Z113" s="58"/>
    </row>
    <row r="114" spans="1:26" ht="15.75" customHeight="1">
      <c r="A114" s="209" t="s">
        <v>763</v>
      </c>
      <c r="B114" s="58"/>
      <c r="C114" s="190" t="s">
        <v>764</v>
      </c>
      <c r="D114" s="58"/>
      <c r="E114" s="58" t="s">
        <v>739</v>
      </c>
      <c r="F114" s="58"/>
      <c r="G114" s="58"/>
      <c r="H114" s="58"/>
      <c r="I114" s="58"/>
      <c r="J114" s="58"/>
      <c r="K114" s="58"/>
      <c r="L114" s="58"/>
      <c r="M114" s="58"/>
      <c r="N114" s="58"/>
      <c r="O114" s="58"/>
      <c r="P114" s="58"/>
      <c r="Q114" s="58"/>
      <c r="R114" s="58"/>
      <c r="S114" s="58"/>
      <c r="T114" s="58"/>
      <c r="U114" s="58"/>
      <c r="V114" s="58"/>
      <c r="W114" s="58"/>
      <c r="X114" s="58"/>
      <c r="Y114" s="58"/>
      <c r="Z114" s="58"/>
    </row>
    <row r="115" spans="1:26" ht="15.75" customHeight="1">
      <c r="A115" s="209" t="s">
        <v>765</v>
      </c>
      <c r="B115" s="58"/>
      <c r="C115" s="190" t="s">
        <v>766</v>
      </c>
      <c r="D115" s="58"/>
      <c r="E115" s="58" t="s">
        <v>742</v>
      </c>
      <c r="F115" s="58"/>
      <c r="G115" s="58"/>
      <c r="H115" s="58"/>
      <c r="I115" s="58"/>
      <c r="J115" s="58"/>
      <c r="K115" s="58"/>
      <c r="L115" s="58"/>
      <c r="M115" s="58"/>
      <c r="N115" s="58"/>
      <c r="O115" s="58"/>
      <c r="P115" s="58"/>
      <c r="Q115" s="58"/>
      <c r="R115" s="58"/>
      <c r="S115" s="58"/>
      <c r="T115" s="58"/>
      <c r="U115" s="58"/>
      <c r="V115" s="58"/>
      <c r="W115" s="58"/>
      <c r="X115" s="58"/>
      <c r="Y115" s="58"/>
      <c r="Z115" s="58"/>
    </row>
    <row r="116" spans="1:26" ht="15.75" customHeight="1">
      <c r="A116" s="209" t="s">
        <v>767</v>
      </c>
      <c r="B116" s="190"/>
      <c r="C116" s="190" t="s">
        <v>768</v>
      </c>
      <c r="D116" s="58"/>
      <c r="E116" s="58" t="s">
        <v>769</v>
      </c>
      <c r="F116" s="58"/>
      <c r="G116" s="58"/>
      <c r="H116" s="58"/>
      <c r="I116" s="58"/>
      <c r="J116" s="58"/>
      <c r="K116" s="58"/>
      <c r="L116" s="58"/>
      <c r="M116" s="58"/>
      <c r="N116" s="58"/>
      <c r="O116" s="58"/>
      <c r="P116" s="58"/>
      <c r="Q116" s="58"/>
      <c r="R116" s="58"/>
      <c r="S116" s="58"/>
      <c r="T116" s="58"/>
      <c r="U116" s="58"/>
      <c r="V116" s="58"/>
      <c r="W116" s="58"/>
      <c r="X116" s="58"/>
      <c r="Y116" s="58"/>
      <c r="Z116" s="58"/>
    </row>
    <row r="117" spans="1:26" ht="15.75" customHeight="1">
      <c r="A117" s="209" t="s">
        <v>770</v>
      </c>
      <c r="B117" s="58"/>
      <c r="C117" s="58"/>
      <c r="D117" s="58"/>
      <c r="E117" s="58" t="s">
        <v>771</v>
      </c>
      <c r="F117" s="58"/>
      <c r="G117" s="58"/>
      <c r="H117" s="58"/>
      <c r="I117" s="58"/>
      <c r="J117" s="58"/>
      <c r="K117" s="58"/>
      <c r="L117" s="58"/>
      <c r="M117" s="58"/>
      <c r="N117" s="58"/>
      <c r="O117" s="58"/>
      <c r="P117" s="58"/>
      <c r="Q117" s="58"/>
      <c r="R117" s="58"/>
      <c r="S117" s="58"/>
      <c r="T117" s="58"/>
      <c r="U117" s="58"/>
      <c r="V117" s="58"/>
      <c r="W117" s="58"/>
      <c r="X117" s="58"/>
      <c r="Y117" s="58"/>
      <c r="Z117" s="58"/>
    </row>
    <row r="118" spans="1:26" ht="15.75" customHeight="1">
      <c r="A118" s="209" t="s">
        <v>772</v>
      </c>
      <c r="B118" s="58"/>
      <c r="C118" s="58"/>
      <c r="D118" s="58"/>
      <c r="E118" s="58" t="s">
        <v>773</v>
      </c>
      <c r="F118" s="58"/>
      <c r="G118" s="58"/>
      <c r="H118" s="58"/>
      <c r="I118" s="58"/>
      <c r="J118" s="58"/>
      <c r="K118" s="58"/>
      <c r="L118" s="58"/>
      <c r="M118" s="58"/>
      <c r="N118" s="58"/>
      <c r="O118" s="58"/>
      <c r="P118" s="58"/>
      <c r="Q118" s="58"/>
      <c r="R118" s="58"/>
      <c r="S118" s="58"/>
      <c r="T118" s="58"/>
      <c r="U118" s="58"/>
      <c r="V118" s="58"/>
      <c r="W118" s="58"/>
      <c r="X118" s="58"/>
      <c r="Y118" s="58"/>
      <c r="Z118" s="58"/>
    </row>
    <row r="119" spans="1:26" ht="15.75" customHeight="1">
      <c r="A119" s="209" t="s">
        <v>774</v>
      </c>
      <c r="B119" s="58"/>
      <c r="C119" s="58"/>
      <c r="D119" s="58"/>
      <c r="E119" s="58" t="s">
        <v>775</v>
      </c>
      <c r="F119" s="58"/>
      <c r="G119" s="58"/>
      <c r="H119" s="58"/>
      <c r="I119" s="58"/>
      <c r="J119" s="58"/>
      <c r="K119" s="58"/>
      <c r="L119" s="58"/>
      <c r="M119" s="58"/>
      <c r="N119" s="58"/>
      <c r="O119" s="58"/>
      <c r="P119" s="58"/>
      <c r="Q119" s="58"/>
      <c r="R119" s="58"/>
      <c r="S119" s="58"/>
      <c r="T119" s="58"/>
      <c r="U119" s="58"/>
      <c r="V119" s="58"/>
      <c r="W119" s="58"/>
      <c r="X119" s="58"/>
      <c r="Y119" s="58"/>
      <c r="Z119" s="58"/>
    </row>
    <row r="120" spans="1:26" ht="15.75" customHeight="1">
      <c r="A120" s="209" t="s">
        <v>754</v>
      </c>
      <c r="B120" s="58"/>
      <c r="C120" s="58" t="s">
        <v>776</v>
      </c>
      <c r="D120" s="58"/>
      <c r="F120" s="58"/>
      <c r="G120" s="58"/>
      <c r="H120" s="58"/>
      <c r="I120" s="58"/>
      <c r="J120" s="58"/>
      <c r="K120" s="58"/>
      <c r="L120" s="58"/>
      <c r="M120" s="58"/>
      <c r="N120" s="58"/>
      <c r="O120" s="58"/>
      <c r="P120" s="58"/>
      <c r="Q120" s="58"/>
      <c r="R120" s="58"/>
      <c r="S120" s="58"/>
      <c r="T120" s="58"/>
      <c r="U120" s="58"/>
      <c r="V120" s="58"/>
      <c r="W120" s="58"/>
      <c r="X120" s="58"/>
      <c r="Y120" s="58"/>
      <c r="Z120" s="58"/>
    </row>
    <row r="121" spans="1:26" ht="15.75" customHeight="1">
      <c r="A121" s="209" t="s">
        <v>777</v>
      </c>
      <c r="B121" s="58"/>
      <c r="C121" s="58" t="s">
        <v>672</v>
      </c>
      <c r="D121" s="58"/>
      <c r="E121" s="210" t="s">
        <v>778</v>
      </c>
      <c r="F121" s="58"/>
      <c r="G121" s="58"/>
      <c r="H121" s="58"/>
      <c r="I121" s="58"/>
      <c r="J121" s="58"/>
      <c r="K121" s="58"/>
      <c r="L121" s="58"/>
      <c r="M121" s="58"/>
      <c r="N121" s="58"/>
      <c r="O121" s="58"/>
      <c r="P121" s="58"/>
      <c r="Q121" s="58"/>
      <c r="R121" s="58"/>
      <c r="S121" s="58"/>
      <c r="T121" s="58"/>
      <c r="U121" s="58"/>
      <c r="V121" s="58"/>
      <c r="W121" s="58"/>
      <c r="X121" s="58"/>
      <c r="Y121" s="58"/>
      <c r="Z121" s="58"/>
    </row>
    <row r="122" spans="1:26" ht="15.75" customHeight="1">
      <c r="A122" s="58"/>
      <c r="B122" s="58"/>
      <c r="C122" s="58" t="s">
        <v>521</v>
      </c>
      <c r="D122" s="58"/>
      <c r="E122" s="58" t="s">
        <v>779</v>
      </c>
      <c r="F122" s="58"/>
      <c r="G122" s="58"/>
      <c r="H122" s="58"/>
      <c r="I122" s="58"/>
      <c r="J122" s="58"/>
      <c r="K122" s="58"/>
      <c r="L122" s="58"/>
      <c r="M122" s="58"/>
      <c r="N122" s="58"/>
      <c r="O122" s="58"/>
      <c r="P122" s="58"/>
      <c r="Q122" s="58"/>
      <c r="R122" s="58"/>
      <c r="S122" s="58"/>
      <c r="T122" s="58"/>
      <c r="U122" s="58"/>
      <c r="V122" s="58"/>
      <c r="W122" s="58"/>
      <c r="X122" s="58"/>
      <c r="Y122" s="58"/>
      <c r="Z122" s="58"/>
    </row>
    <row r="123" spans="1:26" ht="15.75" customHeight="1">
      <c r="A123" s="211" t="s">
        <v>780</v>
      </c>
      <c r="B123" s="58"/>
      <c r="C123" s="58" t="s">
        <v>556</v>
      </c>
      <c r="D123" s="58"/>
      <c r="E123" s="58" t="s">
        <v>781</v>
      </c>
      <c r="F123" s="58"/>
      <c r="G123" s="58"/>
      <c r="H123" s="58"/>
      <c r="I123" s="58"/>
      <c r="J123" s="58"/>
      <c r="K123" s="58"/>
      <c r="L123" s="58"/>
      <c r="M123" s="58"/>
      <c r="N123" s="58"/>
      <c r="O123" s="58"/>
      <c r="P123" s="58"/>
      <c r="Q123" s="58"/>
      <c r="R123" s="58"/>
      <c r="S123" s="58"/>
      <c r="T123" s="58"/>
      <c r="U123" s="58"/>
      <c r="V123" s="58"/>
      <c r="W123" s="58"/>
      <c r="X123" s="58"/>
      <c r="Y123" s="58"/>
      <c r="Z123" s="58"/>
    </row>
    <row r="124" spans="1:26" ht="15.75" customHeight="1">
      <c r="A124" s="212" t="s">
        <v>782</v>
      </c>
      <c r="B124" s="58"/>
      <c r="C124" s="58" t="s">
        <v>529</v>
      </c>
      <c r="D124" s="58"/>
      <c r="E124" s="58" t="s">
        <v>783</v>
      </c>
      <c r="F124" s="58"/>
      <c r="G124" s="58"/>
      <c r="H124" s="58"/>
      <c r="I124" s="58"/>
      <c r="J124" s="58"/>
      <c r="K124" s="58"/>
      <c r="L124" s="58"/>
      <c r="M124" s="58"/>
      <c r="N124" s="58"/>
      <c r="O124" s="58"/>
      <c r="P124" s="58"/>
      <c r="Q124" s="58"/>
      <c r="R124" s="58"/>
      <c r="S124" s="58"/>
      <c r="T124" s="58"/>
      <c r="U124" s="58"/>
      <c r="V124" s="58"/>
      <c r="W124" s="58"/>
      <c r="X124" s="58"/>
      <c r="Y124" s="58"/>
      <c r="Z124" s="58"/>
    </row>
    <row r="125" spans="1:26" ht="15.75" customHeight="1">
      <c r="A125" s="212" t="s">
        <v>784</v>
      </c>
      <c r="B125" s="58"/>
      <c r="C125" s="58" t="s">
        <v>587</v>
      </c>
      <c r="D125" s="58"/>
      <c r="E125" s="58" t="s">
        <v>785</v>
      </c>
      <c r="F125" s="58"/>
      <c r="G125" s="58"/>
      <c r="H125" s="58"/>
      <c r="I125" s="58"/>
      <c r="J125" s="58"/>
      <c r="K125" s="58"/>
      <c r="L125" s="58"/>
      <c r="M125" s="58"/>
      <c r="N125" s="58"/>
      <c r="O125" s="58"/>
      <c r="P125" s="58"/>
      <c r="Q125" s="58"/>
      <c r="R125" s="58"/>
      <c r="S125" s="58"/>
      <c r="T125" s="58"/>
      <c r="U125" s="58"/>
      <c r="V125" s="58"/>
      <c r="W125" s="58"/>
      <c r="X125" s="58"/>
      <c r="Y125" s="58"/>
      <c r="Z125" s="58"/>
    </row>
    <row r="126" spans="1:26" ht="15.75" customHeight="1">
      <c r="A126" s="212" t="s">
        <v>786</v>
      </c>
      <c r="B126" s="58"/>
      <c r="C126" s="58" t="s">
        <v>539</v>
      </c>
      <c r="D126" s="58"/>
      <c r="E126" s="58" t="s">
        <v>787</v>
      </c>
      <c r="F126" s="58"/>
      <c r="G126" s="58"/>
      <c r="H126" s="58"/>
      <c r="I126" s="58"/>
      <c r="J126" s="58"/>
      <c r="K126" s="58"/>
      <c r="L126" s="58"/>
      <c r="M126" s="58"/>
      <c r="N126" s="58"/>
      <c r="O126" s="58"/>
      <c r="P126" s="58"/>
      <c r="Q126" s="58"/>
      <c r="R126" s="58"/>
      <c r="S126" s="58"/>
      <c r="T126" s="58"/>
      <c r="U126" s="58"/>
      <c r="V126" s="58"/>
      <c r="W126" s="58"/>
      <c r="X126" s="58"/>
      <c r="Y126" s="58"/>
      <c r="Z126" s="58"/>
    </row>
    <row r="127" spans="1:26" ht="15.75" customHeight="1">
      <c r="A127" s="212" t="s">
        <v>788</v>
      </c>
      <c r="B127" s="58"/>
      <c r="C127" s="58" t="s">
        <v>538</v>
      </c>
      <c r="D127" s="58"/>
      <c r="E127" s="58" t="s">
        <v>789</v>
      </c>
      <c r="F127" s="58"/>
      <c r="G127" s="58"/>
      <c r="H127" s="58"/>
      <c r="I127" s="58"/>
      <c r="J127" s="58"/>
      <c r="K127" s="58"/>
      <c r="L127" s="58"/>
      <c r="M127" s="58"/>
      <c r="N127" s="58"/>
      <c r="O127" s="58"/>
      <c r="P127" s="58"/>
      <c r="Q127" s="58"/>
      <c r="R127" s="58"/>
      <c r="S127" s="58"/>
      <c r="T127" s="58"/>
      <c r="U127" s="58"/>
      <c r="V127" s="58"/>
      <c r="W127" s="58"/>
      <c r="X127" s="58"/>
      <c r="Y127" s="58"/>
      <c r="Z127" s="58"/>
    </row>
    <row r="128" spans="1:26" ht="15.75" customHeight="1">
      <c r="A128" s="212" t="s">
        <v>790</v>
      </c>
      <c r="B128" s="58"/>
      <c r="C128" s="58" t="s">
        <v>567</v>
      </c>
      <c r="D128" s="58"/>
      <c r="E128" s="58" t="s">
        <v>791</v>
      </c>
      <c r="F128" s="58"/>
      <c r="G128" s="58"/>
      <c r="H128" s="58"/>
      <c r="I128" s="58"/>
      <c r="J128" s="58"/>
      <c r="K128" s="58"/>
      <c r="L128" s="58"/>
      <c r="M128" s="58"/>
      <c r="N128" s="58"/>
      <c r="O128" s="58"/>
      <c r="P128" s="58"/>
      <c r="Q128" s="58"/>
      <c r="R128" s="58"/>
      <c r="S128" s="58"/>
      <c r="T128" s="58"/>
      <c r="U128" s="58"/>
      <c r="V128" s="58"/>
      <c r="W128" s="58"/>
      <c r="X128" s="58"/>
      <c r="Y128" s="58"/>
      <c r="Z128" s="58"/>
    </row>
    <row r="129" spans="1:26" ht="15.75" customHeight="1">
      <c r="A129" s="212" t="s">
        <v>792</v>
      </c>
      <c r="B129" s="58"/>
      <c r="C129" s="58" t="s">
        <v>793</v>
      </c>
      <c r="D129" s="58"/>
      <c r="E129" s="58" t="s">
        <v>794</v>
      </c>
      <c r="F129" s="58"/>
      <c r="G129" s="58"/>
      <c r="H129" s="58"/>
      <c r="I129" s="58"/>
      <c r="J129" s="58"/>
      <c r="K129" s="58"/>
      <c r="L129" s="58"/>
      <c r="M129" s="58"/>
      <c r="N129" s="58"/>
      <c r="O129" s="58"/>
      <c r="P129" s="58"/>
      <c r="Q129" s="58"/>
      <c r="R129" s="58"/>
      <c r="S129" s="58"/>
      <c r="T129" s="58"/>
      <c r="U129" s="58"/>
      <c r="V129" s="58"/>
      <c r="W129" s="58"/>
      <c r="X129" s="58"/>
      <c r="Y129" s="58"/>
      <c r="Z129" s="58"/>
    </row>
    <row r="130" spans="1:26" ht="15.75" customHeight="1">
      <c r="A130" s="212" t="s">
        <v>795</v>
      </c>
      <c r="B130" s="58"/>
      <c r="C130" s="58" t="s">
        <v>796</v>
      </c>
      <c r="D130" s="58"/>
      <c r="E130" s="58" t="s">
        <v>797</v>
      </c>
      <c r="F130" s="58"/>
      <c r="G130" s="58"/>
      <c r="H130" s="58"/>
      <c r="I130" s="58"/>
      <c r="J130" s="58"/>
      <c r="K130" s="58"/>
      <c r="L130" s="58"/>
      <c r="M130" s="58"/>
      <c r="N130" s="58"/>
      <c r="O130" s="58"/>
      <c r="P130" s="58"/>
      <c r="Q130" s="58"/>
      <c r="R130" s="58"/>
      <c r="S130" s="58"/>
      <c r="T130" s="58"/>
      <c r="U130" s="58"/>
      <c r="V130" s="58"/>
      <c r="W130" s="58"/>
      <c r="X130" s="58"/>
      <c r="Y130" s="58"/>
      <c r="Z130" s="58"/>
    </row>
    <row r="131" spans="1:26" ht="15.75" customHeight="1">
      <c r="A131" s="212" t="s">
        <v>798</v>
      </c>
      <c r="B131" s="58"/>
      <c r="C131" s="58"/>
      <c r="D131" s="58"/>
      <c r="E131" s="58"/>
      <c r="F131" s="58"/>
      <c r="G131" s="58"/>
      <c r="H131" s="58"/>
      <c r="I131" s="58"/>
      <c r="J131" s="58"/>
      <c r="K131" s="58"/>
      <c r="L131" s="58"/>
      <c r="M131" s="58"/>
      <c r="N131" s="58"/>
      <c r="O131" s="58"/>
      <c r="P131" s="58"/>
      <c r="Q131" s="58"/>
      <c r="R131" s="58"/>
      <c r="S131" s="58"/>
      <c r="T131" s="58"/>
      <c r="U131" s="58"/>
      <c r="V131" s="58"/>
      <c r="W131" s="58"/>
      <c r="X131" s="58"/>
      <c r="Y131" s="58"/>
      <c r="Z131" s="58"/>
    </row>
    <row r="132" spans="1:26" ht="15.75" customHeight="1">
      <c r="A132" s="212" t="s">
        <v>799</v>
      </c>
      <c r="B132" s="58"/>
      <c r="C132" s="58" t="s">
        <v>800</v>
      </c>
      <c r="D132" s="58"/>
      <c r="E132" s="213" t="s">
        <v>801</v>
      </c>
      <c r="F132" s="58"/>
      <c r="G132" s="58"/>
      <c r="H132" s="58"/>
      <c r="I132" s="58"/>
      <c r="J132" s="58"/>
      <c r="K132" s="58"/>
      <c r="L132" s="58"/>
      <c r="M132" s="58"/>
      <c r="N132" s="58"/>
      <c r="O132" s="58"/>
      <c r="P132" s="58"/>
      <c r="Q132" s="58"/>
      <c r="R132" s="58"/>
      <c r="S132" s="58"/>
      <c r="T132" s="58"/>
      <c r="U132" s="58"/>
      <c r="V132" s="58"/>
      <c r="W132" s="58"/>
      <c r="X132" s="58"/>
      <c r="Y132" s="58"/>
      <c r="Z132" s="58"/>
    </row>
    <row r="133" spans="1:26" ht="15.75" customHeight="1">
      <c r="A133" s="58"/>
      <c r="B133" s="58"/>
      <c r="C133" s="58"/>
      <c r="D133" s="58"/>
      <c r="E133" s="214" t="s">
        <v>802</v>
      </c>
      <c r="F133" s="58"/>
      <c r="G133" s="58"/>
      <c r="H133" s="58"/>
      <c r="I133" s="58"/>
      <c r="J133" s="58"/>
      <c r="K133" s="58"/>
      <c r="L133" s="58"/>
      <c r="M133" s="58"/>
      <c r="N133" s="58"/>
      <c r="O133" s="58"/>
      <c r="P133" s="58"/>
      <c r="Q133" s="58"/>
      <c r="R133" s="58"/>
      <c r="S133" s="58"/>
      <c r="T133" s="58"/>
      <c r="U133" s="58"/>
      <c r="V133" s="58"/>
      <c r="W133" s="58"/>
      <c r="X133" s="58"/>
      <c r="Y133" s="58"/>
      <c r="Z133" s="58"/>
    </row>
    <row r="134" spans="1:26" ht="15.75" customHeight="1">
      <c r="A134" s="58"/>
      <c r="B134" s="58"/>
      <c r="C134" s="58"/>
      <c r="D134" s="58"/>
      <c r="E134" s="214" t="s">
        <v>803</v>
      </c>
      <c r="F134" s="58"/>
      <c r="G134" s="58"/>
      <c r="H134" s="58"/>
      <c r="I134" s="58"/>
      <c r="J134" s="58"/>
      <c r="K134" s="58"/>
      <c r="L134" s="58"/>
      <c r="M134" s="58"/>
      <c r="N134" s="58"/>
      <c r="O134" s="58"/>
      <c r="P134" s="58"/>
      <c r="Q134" s="58"/>
      <c r="R134" s="58"/>
      <c r="S134" s="58"/>
      <c r="T134" s="58"/>
      <c r="U134" s="58"/>
      <c r="V134" s="58"/>
      <c r="W134" s="58"/>
      <c r="X134" s="58"/>
      <c r="Y134" s="58"/>
      <c r="Z134" s="58"/>
    </row>
    <row r="135" spans="1:26" ht="15.75" customHeight="1">
      <c r="A135" s="58"/>
      <c r="B135" s="58"/>
      <c r="C135" s="58"/>
      <c r="D135" s="58"/>
      <c r="E135" s="214" t="s">
        <v>804</v>
      </c>
      <c r="F135" s="58"/>
      <c r="G135" s="58"/>
      <c r="H135" s="58"/>
      <c r="I135" s="58"/>
      <c r="J135" s="58"/>
      <c r="K135" s="58"/>
      <c r="L135" s="58"/>
      <c r="M135" s="58"/>
      <c r="N135" s="58"/>
      <c r="O135" s="58"/>
      <c r="P135" s="58"/>
      <c r="Q135" s="58"/>
      <c r="R135" s="58"/>
      <c r="S135" s="58"/>
      <c r="T135" s="58"/>
      <c r="U135" s="58"/>
      <c r="V135" s="58"/>
      <c r="W135" s="58"/>
      <c r="X135" s="58"/>
      <c r="Y135" s="58"/>
      <c r="Z135" s="58"/>
    </row>
    <row r="136" spans="1:26" ht="15.75" customHeight="1">
      <c r="A136" s="58"/>
      <c r="B136" s="58"/>
      <c r="C136" s="58"/>
      <c r="D136" s="58"/>
      <c r="E136" s="214" t="s">
        <v>805</v>
      </c>
      <c r="F136" s="58"/>
      <c r="G136" s="58"/>
      <c r="H136" s="58"/>
      <c r="I136" s="58"/>
      <c r="J136" s="58"/>
      <c r="K136" s="58"/>
      <c r="L136" s="58"/>
      <c r="M136" s="58"/>
      <c r="N136" s="58"/>
      <c r="O136" s="58"/>
      <c r="P136" s="58"/>
      <c r="Q136" s="58"/>
      <c r="R136" s="58"/>
      <c r="S136" s="58"/>
      <c r="T136" s="58"/>
      <c r="U136" s="58"/>
      <c r="V136" s="58"/>
      <c r="W136" s="58"/>
      <c r="X136" s="58"/>
      <c r="Y136" s="58"/>
      <c r="Z136" s="58"/>
    </row>
    <row r="137" spans="1:26" ht="15.75" customHeight="1">
      <c r="A137" s="190" t="s">
        <v>806</v>
      </c>
      <c r="B137" s="58"/>
      <c r="C137" s="58"/>
      <c r="D137" s="58"/>
      <c r="E137" s="214" t="s">
        <v>807</v>
      </c>
      <c r="F137" s="58"/>
      <c r="G137" s="58"/>
      <c r="H137" s="58"/>
      <c r="I137" s="58"/>
      <c r="J137" s="58"/>
      <c r="K137" s="58"/>
      <c r="L137" s="58"/>
      <c r="M137" s="58"/>
      <c r="N137" s="58"/>
      <c r="O137" s="58"/>
      <c r="P137" s="58"/>
      <c r="Q137" s="58"/>
      <c r="R137" s="58"/>
      <c r="S137" s="58"/>
      <c r="T137" s="58"/>
      <c r="U137" s="58"/>
      <c r="V137" s="58"/>
      <c r="W137" s="58"/>
      <c r="X137" s="58"/>
      <c r="Y137" s="58"/>
      <c r="Z137" s="58"/>
    </row>
    <row r="138" spans="1:26" ht="15.75" customHeight="1">
      <c r="A138" s="215" t="s">
        <v>808</v>
      </c>
      <c r="B138" s="58"/>
      <c r="C138" s="58"/>
      <c r="D138" s="58"/>
      <c r="E138" s="214" t="s">
        <v>809</v>
      </c>
      <c r="F138" s="58"/>
      <c r="G138" s="58"/>
      <c r="H138" s="58"/>
      <c r="I138" s="58"/>
      <c r="J138" s="58"/>
      <c r="K138" s="58"/>
      <c r="L138" s="58"/>
      <c r="M138" s="58"/>
      <c r="N138" s="58"/>
      <c r="O138" s="58"/>
      <c r="P138" s="58"/>
      <c r="Q138" s="58"/>
      <c r="R138" s="58"/>
      <c r="S138" s="58"/>
      <c r="T138" s="58"/>
      <c r="U138" s="58"/>
      <c r="V138" s="58"/>
      <c r="W138" s="58"/>
      <c r="X138" s="58"/>
      <c r="Y138" s="58"/>
      <c r="Z138" s="58"/>
    </row>
    <row r="139" spans="1:26" ht="15.75" customHeight="1">
      <c r="A139" s="216" t="s">
        <v>810</v>
      </c>
      <c r="B139" s="58"/>
      <c r="C139" s="58"/>
      <c r="D139" s="58"/>
      <c r="E139" s="214" t="s">
        <v>811</v>
      </c>
      <c r="F139" s="58"/>
      <c r="G139" s="58"/>
      <c r="H139" s="58"/>
      <c r="I139" s="58"/>
      <c r="J139" s="58"/>
      <c r="K139" s="58"/>
      <c r="L139" s="58"/>
      <c r="M139" s="58"/>
      <c r="N139" s="58"/>
      <c r="O139" s="58"/>
      <c r="P139" s="58"/>
      <c r="Q139" s="58"/>
      <c r="R139" s="58"/>
      <c r="S139" s="58"/>
      <c r="T139" s="58"/>
      <c r="U139" s="58"/>
      <c r="V139" s="58"/>
      <c r="W139" s="58"/>
      <c r="X139" s="58"/>
      <c r="Y139" s="58"/>
      <c r="Z139" s="58"/>
    </row>
    <row r="140" spans="1:26" ht="15.75" customHeight="1">
      <c r="A140" s="215" t="s">
        <v>812</v>
      </c>
      <c r="B140" s="58"/>
      <c r="C140" s="213" t="s">
        <v>813</v>
      </c>
      <c r="D140" s="58"/>
      <c r="E140" s="214"/>
      <c r="F140" s="58"/>
      <c r="G140" s="58"/>
      <c r="H140" s="58"/>
      <c r="I140" s="58"/>
      <c r="J140" s="58"/>
      <c r="K140" s="58"/>
      <c r="L140" s="58"/>
      <c r="M140" s="58"/>
      <c r="N140" s="58"/>
      <c r="O140" s="58"/>
      <c r="P140" s="58"/>
      <c r="Q140" s="58"/>
      <c r="R140" s="58"/>
      <c r="S140" s="58"/>
      <c r="T140" s="58"/>
      <c r="U140" s="58"/>
      <c r="V140" s="58"/>
      <c r="W140" s="58"/>
      <c r="X140" s="58"/>
      <c r="Y140" s="58"/>
      <c r="Z140" s="58"/>
    </row>
    <row r="141" spans="1:26" ht="15.75" customHeight="1">
      <c r="A141" s="217" t="s">
        <v>814</v>
      </c>
      <c r="B141" s="58"/>
      <c r="C141" s="190" t="s">
        <v>815</v>
      </c>
      <c r="D141" s="58"/>
      <c r="E141" s="58"/>
      <c r="F141" s="58"/>
      <c r="G141" s="58"/>
      <c r="H141" s="58"/>
      <c r="I141" s="58"/>
      <c r="J141" s="58"/>
      <c r="K141" s="58"/>
      <c r="L141" s="58"/>
      <c r="M141" s="58"/>
      <c r="N141" s="58"/>
      <c r="O141" s="58"/>
      <c r="P141" s="58"/>
      <c r="Q141" s="58"/>
      <c r="R141" s="58"/>
      <c r="S141" s="58"/>
      <c r="T141" s="58"/>
      <c r="U141" s="58"/>
      <c r="V141" s="58"/>
      <c r="W141" s="58"/>
      <c r="X141" s="58"/>
      <c r="Y141" s="58"/>
      <c r="Z141" s="58"/>
    </row>
    <row r="142" spans="1:26" ht="15.75" customHeight="1">
      <c r="A142" s="215" t="s">
        <v>816</v>
      </c>
      <c r="B142" s="58"/>
      <c r="C142" s="58" t="s">
        <v>556</v>
      </c>
      <c r="D142" s="58"/>
      <c r="E142" s="189" t="s">
        <v>817</v>
      </c>
      <c r="F142" s="58"/>
      <c r="G142" s="58"/>
      <c r="H142" s="58"/>
      <c r="I142" s="58"/>
      <c r="J142" s="58"/>
      <c r="K142" s="58"/>
      <c r="L142" s="58"/>
      <c r="M142" s="58"/>
      <c r="N142" s="58"/>
      <c r="O142" s="58"/>
      <c r="P142" s="58"/>
      <c r="Q142" s="58"/>
      <c r="R142" s="58"/>
      <c r="S142" s="58"/>
      <c r="T142" s="58"/>
      <c r="U142" s="58"/>
      <c r="V142" s="58"/>
      <c r="W142" s="58"/>
      <c r="X142" s="58"/>
      <c r="Y142" s="58"/>
      <c r="Z142" s="58"/>
    </row>
    <row r="143" spans="1:26" ht="15.75" customHeight="1">
      <c r="A143" s="216" t="s">
        <v>818</v>
      </c>
      <c r="B143" s="58"/>
      <c r="C143" s="58" t="s">
        <v>529</v>
      </c>
      <c r="D143" s="58"/>
      <c r="E143" s="186" t="s">
        <v>523</v>
      </c>
      <c r="F143" s="58"/>
      <c r="G143" s="58"/>
      <c r="H143" s="58"/>
      <c r="I143" s="58"/>
      <c r="J143" s="58"/>
      <c r="K143" s="58"/>
      <c r="L143" s="58"/>
      <c r="M143" s="58"/>
      <c r="N143" s="58"/>
      <c r="O143" s="58"/>
      <c r="P143" s="58"/>
      <c r="Q143" s="58"/>
      <c r="R143" s="58"/>
      <c r="S143" s="58"/>
      <c r="T143" s="58"/>
      <c r="U143" s="58"/>
      <c r="V143" s="58"/>
      <c r="W143" s="58"/>
      <c r="X143" s="58"/>
      <c r="Y143" s="58"/>
      <c r="Z143" s="58"/>
    </row>
    <row r="144" spans="1:26" ht="15.75" customHeight="1">
      <c r="A144" s="215" t="s">
        <v>819</v>
      </c>
      <c r="B144" s="58"/>
      <c r="C144" s="190" t="s">
        <v>820</v>
      </c>
      <c r="D144" s="58"/>
      <c r="E144" s="186" t="s">
        <v>821</v>
      </c>
      <c r="F144" s="58"/>
      <c r="G144" s="58"/>
      <c r="H144" s="58"/>
      <c r="I144" s="58"/>
      <c r="J144" s="58"/>
      <c r="K144" s="58"/>
      <c r="L144" s="58"/>
      <c r="M144" s="58"/>
      <c r="N144" s="58"/>
      <c r="O144" s="58"/>
      <c r="P144" s="58"/>
      <c r="Q144" s="58"/>
      <c r="R144" s="58"/>
      <c r="S144" s="58"/>
      <c r="T144" s="58"/>
      <c r="U144" s="58"/>
      <c r="V144" s="58"/>
      <c r="W144" s="58"/>
      <c r="X144" s="58"/>
      <c r="Y144" s="58"/>
      <c r="Z144" s="58"/>
    </row>
    <row r="145" spans="1:26" ht="15.75" customHeight="1">
      <c r="A145" s="216" t="s">
        <v>822</v>
      </c>
      <c r="B145" s="58"/>
      <c r="C145" s="190" t="s">
        <v>823</v>
      </c>
      <c r="D145" s="58"/>
      <c r="E145" s="186" t="s">
        <v>824</v>
      </c>
      <c r="F145" s="58"/>
      <c r="G145" s="58"/>
      <c r="H145" s="58"/>
      <c r="I145" s="58"/>
      <c r="J145" s="58"/>
      <c r="K145" s="58"/>
      <c r="L145" s="58"/>
      <c r="M145" s="58"/>
      <c r="N145" s="58"/>
      <c r="O145" s="58"/>
      <c r="P145" s="58"/>
      <c r="Q145" s="58"/>
      <c r="R145" s="58"/>
      <c r="S145" s="58"/>
      <c r="T145" s="58"/>
      <c r="U145" s="58"/>
      <c r="V145" s="58"/>
      <c r="W145" s="58"/>
      <c r="X145" s="58"/>
      <c r="Y145" s="58"/>
      <c r="Z145" s="58"/>
    </row>
    <row r="146" spans="1:26" ht="15.75" customHeight="1">
      <c r="A146" s="215" t="s">
        <v>825</v>
      </c>
      <c r="B146" s="58"/>
      <c r="C146" s="190" t="s">
        <v>826</v>
      </c>
      <c r="D146" s="58"/>
      <c r="E146" s="186" t="s">
        <v>827</v>
      </c>
      <c r="F146" s="58"/>
      <c r="G146" s="58"/>
      <c r="H146" s="58"/>
      <c r="I146" s="58"/>
      <c r="J146" s="58"/>
      <c r="K146" s="58"/>
      <c r="L146" s="58"/>
      <c r="M146" s="58"/>
      <c r="N146" s="58"/>
      <c r="O146" s="58"/>
      <c r="P146" s="58"/>
      <c r="Q146" s="58"/>
      <c r="R146" s="58"/>
      <c r="S146" s="58"/>
      <c r="T146" s="58"/>
      <c r="U146" s="58"/>
      <c r="V146" s="58"/>
      <c r="W146" s="58"/>
      <c r="X146" s="58"/>
      <c r="Y146" s="58"/>
      <c r="Z146" s="58"/>
    </row>
    <row r="147" spans="1:26" ht="15.75" customHeight="1">
      <c r="A147" s="218" t="s">
        <v>828</v>
      </c>
      <c r="B147" s="58"/>
      <c r="C147" s="190" t="s">
        <v>829</v>
      </c>
      <c r="D147" s="58"/>
      <c r="E147" s="186" t="s">
        <v>830</v>
      </c>
      <c r="F147" s="58"/>
      <c r="G147" s="58"/>
      <c r="H147" s="58"/>
      <c r="I147" s="58"/>
      <c r="J147" s="58"/>
      <c r="K147" s="58"/>
      <c r="L147" s="58"/>
      <c r="M147" s="58"/>
      <c r="N147" s="58"/>
      <c r="O147" s="58"/>
      <c r="P147" s="58"/>
      <c r="Q147" s="58"/>
      <c r="R147" s="58"/>
      <c r="S147" s="58"/>
      <c r="T147" s="58"/>
      <c r="U147" s="58"/>
      <c r="V147" s="58"/>
      <c r="W147" s="58"/>
      <c r="X147" s="58"/>
      <c r="Y147" s="58"/>
      <c r="Z147" s="58"/>
    </row>
    <row r="148" spans="1:26" ht="15.75" customHeight="1">
      <c r="A148" s="215" t="s">
        <v>831</v>
      </c>
      <c r="B148" s="58"/>
      <c r="C148" s="190" t="s">
        <v>832</v>
      </c>
      <c r="D148" s="58"/>
      <c r="E148" s="186" t="s">
        <v>833</v>
      </c>
      <c r="F148" s="58"/>
      <c r="G148" s="58"/>
      <c r="H148" s="58"/>
      <c r="I148" s="58"/>
      <c r="J148" s="58"/>
      <c r="K148" s="58"/>
      <c r="L148" s="58"/>
      <c r="M148" s="58"/>
      <c r="N148" s="58"/>
      <c r="O148" s="58"/>
      <c r="P148" s="58"/>
      <c r="Q148" s="58"/>
      <c r="R148" s="58"/>
      <c r="S148" s="58"/>
      <c r="T148" s="58"/>
      <c r="U148" s="58"/>
      <c r="V148" s="58"/>
      <c r="W148" s="58"/>
      <c r="X148" s="58"/>
      <c r="Y148" s="58"/>
      <c r="Z148" s="58"/>
    </row>
    <row r="149" spans="1:26" ht="15.75" customHeight="1">
      <c r="A149" s="216" t="s">
        <v>834</v>
      </c>
      <c r="B149" s="58"/>
      <c r="C149" s="190" t="s">
        <v>835</v>
      </c>
      <c r="D149" s="58"/>
      <c r="E149" s="186" t="s">
        <v>836</v>
      </c>
      <c r="F149" s="58"/>
      <c r="G149" s="58"/>
      <c r="H149" s="58"/>
      <c r="I149" s="58"/>
      <c r="J149" s="58"/>
      <c r="K149" s="58"/>
      <c r="L149" s="58"/>
      <c r="M149" s="58"/>
      <c r="N149" s="58"/>
      <c r="O149" s="58"/>
      <c r="P149" s="58"/>
      <c r="Q149" s="58"/>
      <c r="R149" s="58"/>
      <c r="S149" s="58"/>
      <c r="T149" s="58"/>
      <c r="U149" s="58"/>
      <c r="V149" s="58"/>
      <c r="W149" s="58"/>
      <c r="X149" s="58"/>
      <c r="Y149" s="58"/>
      <c r="Z149" s="58"/>
    </row>
    <row r="150" spans="1:26" ht="15.75" customHeight="1">
      <c r="A150" s="215" t="s">
        <v>837</v>
      </c>
      <c r="B150" s="58"/>
      <c r="C150" s="190"/>
      <c r="D150" s="58"/>
      <c r="E150" s="186" t="s">
        <v>838</v>
      </c>
      <c r="F150" s="58"/>
      <c r="G150" s="58"/>
      <c r="H150" s="58"/>
      <c r="I150" s="58"/>
      <c r="J150" s="58"/>
      <c r="K150" s="58"/>
      <c r="L150" s="58"/>
      <c r="M150" s="58"/>
      <c r="N150" s="58"/>
      <c r="O150" s="58"/>
      <c r="P150" s="190"/>
      <c r="Q150" s="58"/>
      <c r="R150" s="58"/>
      <c r="S150" s="58"/>
      <c r="T150" s="58"/>
      <c r="U150" s="58"/>
      <c r="V150" s="58"/>
      <c r="W150" s="58"/>
      <c r="X150" s="58"/>
      <c r="Y150" s="58"/>
      <c r="Z150" s="58"/>
    </row>
    <row r="151" spans="1:26" ht="15.75" customHeight="1">
      <c r="A151" s="216" t="s">
        <v>839</v>
      </c>
      <c r="B151" s="58"/>
      <c r="C151" s="190"/>
      <c r="D151" s="58"/>
      <c r="E151" s="169" t="s">
        <v>542</v>
      </c>
      <c r="F151" s="58"/>
      <c r="G151" s="58"/>
      <c r="H151" s="58"/>
      <c r="I151" s="58"/>
      <c r="J151" s="58"/>
      <c r="K151" s="58"/>
      <c r="L151" s="58"/>
      <c r="M151" s="58"/>
      <c r="N151" s="58"/>
      <c r="O151" s="58"/>
      <c r="P151" s="190"/>
      <c r="Q151" s="58"/>
      <c r="R151" s="58"/>
      <c r="S151" s="58"/>
      <c r="T151" s="58"/>
      <c r="U151" s="58"/>
      <c r="V151" s="58"/>
      <c r="W151" s="58"/>
      <c r="X151" s="58"/>
      <c r="Y151" s="58"/>
      <c r="Z151" s="58"/>
    </row>
    <row r="152" spans="1:26" ht="15.75" customHeight="1">
      <c r="A152" s="215" t="s">
        <v>840</v>
      </c>
      <c r="B152" s="58"/>
      <c r="C152" s="190"/>
      <c r="D152" s="58"/>
      <c r="E152" s="186" t="s">
        <v>841</v>
      </c>
      <c r="F152" s="58"/>
      <c r="G152" s="58"/>
      <c r="H152" s="58"/>
      <c r="I152" s="58"/>
      <c r="J152" s="58"/>
      <c r="K152" s="58"/>
      <c r="L152" s="58"/>
      <c r="M152" s="58"/>
      <c r="N152" s="58"/>
      <c r="O152" s="58"/>
      <c r="P152" s="190"/>
      <c r="Q152" s="58"/>
      <c r="R152" s="58"/>
      <c r="S152" s="58"/>
      <c r="T152" s="58"/>
      <c r="U152" s="58"/>
      <c r="V152" s="58"/>
      <c r="W152" s="58"/>
      <c r="X152" s="58"/>
      <c r="Y152" s="58"/>
      <c r="Z152" s="58"/>
    </row>
    <row r="153" spans="1:26" ht="15.75" customHeight="1">
      <c r="A153" s="216" t="s">
        <v>842</v>
      </c>
      <c r="B153" s="58"/>
      <c r="D153" s="58"/>
      <c r="E153" s="186" t="s">
        <v>843</v>
      </c>
      <c r="F153" s="58"/>
      <c r="G153" s="58"/>
      <c r="H153" s="58"/>
      <c r="I153" s="58"/>
      <c r="J153" s="58"/>
      <c r="K153" s="58"/>
      <c r="L153" s="58"/>
      <c r="M153" s="58"/>
      <c r="N153" s="58"/>
      <c r="O153" s="58"/>
      <c r="P153" s="190"/>
      <c r="Q153" s="58"/>
      <c r="R153" s="58"/>
      <c r="S153" s="58"/>
      <c r="T153" s="58"/>
      <c r="U153" s="58"/>
      <c r="V153" s="58"/>
      <c r="W153" s="58"/>
      <c r="X153" s="58"/>
      <c r="Y153" s="58"/>
      <c r="Z153" s="58"/>
    </row>
    <row r="154" spans="1:26" ht="15.75" customHeight="1">
      <c r="A154" s="215" t="s">
        <v>844</v>
      </c>
      <c r="B154" s="58"/>
      <c r="C154" s="58"/>
      <c r="D154" s="58"/>
      <c r="E154" s="186" t="s">
        <v>845</v>
      </c>
      <c r="F154" s="58"/>
      <c r="G154" s="58"/>
      <c r="H154" s="58"/>
      <c r="I154" s="58"/>
      <c r="J154" s="58"/>
      <c r="K154" s="58"/>
      <c r="L154" s="58"/>
      <c r="M154" s="58"/>
      <c r="N154" s="58"/>
      <c r="O154" s="58"/>
      <c r="P154" s="190"/>
      <c r="Q154" s="58"/>
      <c r="R154" s="58"/>
      <c r="S154" s="58"/>
      <c r="T154" s="58"/>
      <c r="U154" s="58"/>
      <c r="V154" s="58"/>
      <c r="W154" s="58"/>
      <c r="X154" s="58"/>
      <c r="Y154" s="58"/>
      <c r="Z154" s="58"/>
    </row>
    <row r="155" spans="1:26" ht="15.75" customHeight="1">
      <c r="A155" s="219" t="s">
        <v>846</v>
      </c>
      <c r="B155" s="58"/>
      <c r="C155" s="58"/>
      <c r="D155" s="58"/>
      <c r="E155" s="186" t="s">
        <v>847</v>
      </c>
      <c r="F155" s="58"/>
      <c r="G155" s="58"/>
      <c r="H155" s="58"/>
      <c r="I155" s="58"/>
      <c r="J155" s="58"/>
      <c r="K155" s="58"/>
      <c r="L155" s="58"/>
      <c r="M155" s="58"/>
      <c r="N155" s="58"/>
      <c r="O155" s="58"/>
      <c r="P155" s="58"/>
      <c r="Q155" s="58"/>
      <c r="R155" s="58"/>
      <c r="S155" s="58"/>
      <c r="T155" s="58"/>
      <c r="U155" s="58"/>
      <c r="V155" s="58"/>
      <c r="W155" s="58"/>
      <c r="X155" s="58"/>
      <c r="Y155" s="58"/>
      <c r="Z155" s="58"/>
    </row>
    <row r="156" spans="1:26" ht="15.75" customHeight="1">
      <c r="A156" s="215" t="s">
        <v>848</v>
      </c>
      <c r="B156" s="58"/>
      <c r="C156" s="58"/>
      <c r="D156" s="58"/>
      <c r="E156" s="220" t="s">
        <v>849</v>
      </c>
      <c r="F156" s="58"/>
      <c r="G156" s="58"/>
      <c r="H156" s="58"/>
      <c r="I156" s="58"/>
      <c r="J156" s="58"/>
      <c r="K156" s="58"/>
      <c r="L156" s="58"/>
      <c r="M156" s="58"/>
      <c r="N156" s="58"/>
      <c r="O156" s="58"/>
      <c r="P156" s="58"/>
      <c r="Q156" s="58"/>
      <c r="R156" s="58"/>
      <c r="S156" s="58"/>
      <c r="T156" s="58"/>
      <c r="U156" s="58"/>
      <c r="V156" s="58"/>
      <c r="W156" s="58"/>
      <c r="X156" s="58"/>
      <c r="Y156" s="58"/>
      <c r="Z156" s="58"/>
    </row>
    <row r="157" spans="1:26" ht="15.75" customHeight="1">
      <c r="A157" s="216" t="s">
        <v>850</v>
      </c>
      <c r="B157" s="58"/>
      <c r="C157" s="58"/>
      <c r="D157" s="58"/>
      <c r="E157" s="186" t="s">
        <v>851</v>
      </c>
      <c r="F157" s="58"/>
      <c r="G157" s="58"/>
      <c r="H157" s="58"/>
      <c r="I157" s="58"/>
      <c r="J157" s="58"/>
      <c r="K157" s="58"/>
      <c r="L157" s="58"/>
      <c r="M157" s="58"/>
      <c r="N157" s="58"/>
      <c r="O157" s="58"/>
      <c r="P157" s="58"/>
      <c r="Q157" s="58"/>
      <c r="R157" s="58"/>
      <c r="S157" s="58"/>
      <c r="T157" s="58"/>
      <c r="U157" s="58"/>
      <c r="V157" s="58"/>
      <c r="W157" s="58"/>
      <c r="X157" s="58"/>
      <c r="Y157" s="58"/>
      <c r="Z157" s="58"/>
    </row>
    <row r="158" spans="1:26" ht="15.75" customHeight="1">
      <c r="B158" s="58"/>
      <c r="C158" s="58"/>
      <c r="D158" s="58"/>
      <c r="E158" s="186" t="s">
        <v>852</v>
      </c>
      <c r="F158" s="58"/>
      <c r="G158" s="58"/>
      <c r="H158" s="58"/>
      <c r="I158" s="58"/>
      <c r="J158" s="58"/>
      <c r="K158" s="58"/>
      <c r="L158" s="58"/>
      <c r="M158" s="58"/>
      <c r="N158" s="58"/>
      <c r="O158" s="58"/>
      <c r="P158" s="58"/>
      <c r="Q158" s="58"/>
      <c r="R158" s="58"/>
      <c r="S158" s="58"/>
      <c r="T158" s="58"/>
      <c r="U158" s="58"/>
      <c r="V158" s="58"/>
      <c r="W158" s="58"/>
      <c r="X158" s="58"/>
      <c r="Y158" s="58"/>
      <c r="Z158" s="58"/>
    </row>
    <row r="159" spans="1:26" ht="15.75" customHeight="1">
      <c r="A159" s="185" t="s">
        <v>853</v>
      </c>
      <c r="B159" s="58"/>
      <c r="C159" s="190" t="s">
        <v>854</v>
      </c>
      <c r="D159" s="58"/>
      <c r="E159" s="186" t="s">
        <v>855</v>
      </c>
      <c r="F159" s="58"/>
      <c r="G159" s="58"/>
      <c r="H159" s="58"/>
      <c r="I159" s="58"/>
      <c r="J159" s="58"/>
      <c r="K159" s="58"/>
      <c r="L159" s="58"/>
      <c r="M159" s="58"/>
      <c r="N159" s="58"/>
      <c r="O159" s="58"/>
      <c r="P159" s="58"/>
      <c r="Q159" s="58"/>
      <c r="R159" s="58"/>
      <c r="S159" s="58"/>
      <c r="T159" s="58"/>
      <c r="U159" s="58"/>
      <c r="V159" s="58"/>
      <c r="W159" s="58"/>
      <c r="X159" s="58"/>
      <c r="Y159" s="58"/>
      <c r="Z159" s="58"/>
    </row>
    <row r="160" spans="1:26" ht="15.75" customHeight="1">
      <c r="A160" s="221" t="s">
        <v>856</v>
      </c>
      <c r="B160" s="58"/>
      <c r="C160" s="66" t="s">
        <v>857</v>
      </c>
      <c r="D160" s="58"/>
      <c r="E160" s="186" t="s">
        <v>858</v>
      </c>
      <c r="F160" s="58"/>
      <c r="G160" s="58"/>
      <c r="H160" s="58"/>
      <c r="I160" s="58"/>
      <c r="J160" s="58"/>
      <c r="K160" s="58"/>
      <c r="L160" s="58"/>
      <c r="M160" s="58"/>
      <c r="N160" s="58"/>
      <c r="O160" s="58"/>
      <c r="P160" s="58"/>
      <c r="Q160" s="58"/>
      <c r="R160" s="58"/>
      <c r="S160" s="58"/>
      <c r="T160" s="58"/>
      <c r="U160" s="58"/>
      <c r="V160" s="58"/>
      <c r="W160" s="58"/>
      <c r="X160" s="58"/>
      <c r="Y160" s="58"/>
      <c r="Z160" s="58"/>
    </row>
    <row r="161" spans="1:26" ht="15.75" customHeight="1">
      <c r="A161" s="66" t="s">
        <v>859</v>
      </c>
      <c r="B161" s="58"/>
      <c r="C161" s="66" t="s">
        <v>860</v>
      </c>
      <c r="D161" s="58"/>
      <c r="E161" s="186" t="s">
        <v>861</v>
      </c>
      <c r="F161" s="58"/>
      <c r="G161" s="58"/>
      <c r="H161" s="58"/>
      <c r="I161" s="58"/>
      <c r="J161" s="58"/>
      <c r="K161" s="58"/>
      <c r="L161" s="58"/>
      <c r="M161" s="58"/>
      <c r="N161" s="58"/>
      <c r="O161" s="58"/>
      <c r="P161" s="58"/>
      <c r="Q161" s="58"/>
      <c r="R161" s="58"/>
      <c r="S161" s="58"/>
      <c r="T161" s="58"/>
      <c r="U161" s="58"/>
      <c r="V161" s="58"/>
      <c r="W161" s="58"/>
      <c r="X161" s="58"/>
      <c r="Y161" s="58"/>
      <c r="Z161" s="58"/>
    </row>
    <row r="162" spans="1:26" ht="15.75" customHeight="1">
      <c r="A162" s="66" t="s">
        <v>862</v>
      </c>
      <c r="B162" s="58"/>
      <c r="C162" s="66" t="s">
        <v>863</v>
      </c>
      <c r="D162" s="58"/>
      <c r="E162" s="186" t="s">
        <v>864</v>
      </c>
      <c r="F162" s="58"/>
      <c r="G162" s="58"/>
      <c r="H162" s="58"/>
      <c r="I162" s="58"/>
      <c r="J162" s="58"/>
      <c r="K162" s="58"/>
      <c r="L162" s="58"/>
      <c r="M162" s="58"/>
      <c r="N162" s="58"/>
      <c r="O162" s="58"/>
      <c r="P162" s="58"/>
      <c r="Q162" s="58"/>
      <c r="R162" s="58"/>
      <c r="S162" s="58"/>
      <c r="T162" s="58"/>
      <c r="U162" s="58"/>
      <c r="V162" s="58"/>
      <c r="W162" s="58"/>
      <c r="X162" s="58"/>
      <c r="Y162" s="58"/>
      <c r="Z162" s="58"/>
    </row>
    <row r="163" spans="1:26" ht="15.75" customHeight="1">
      <c r="A163" s="221" t="s">
        <v>865</v>
      </c>
      <c r="B163" s="58"/>
      <c r="C163" s="66" t="s">
        <v>866</v>
      </c>
      <c r="D163" s="58"/>
      <c r="E163" s="190" t="s">
        <v>867</v>
      </c>
      <c r="F163" s="58"/>
      <c r="G163" s="58"/>
      <c r="H163" s="58"/>
      <c r="I163" s="58"/>
      <c r="J163" s="58"/>
      <c r="K163" s="58"/>
      <c r="L163" s="58"/>
      <c r="M163" s="58"/>
      <c r="N163" s="58"/>
      <c r="O163" s="58"/>
      <c r="P163" s="58"/>
      <c r="Q163" s="58"/>
      <c r="R163" s="58"/>
      <c r="S163" s="58"/>
      <c r="T163" s="58"/>
      <c r="U163" s="58"/>
      <c r="V163" s="58"/>
      <c r="W163" s="58"/>
      <c r="X163" s="58"/>
      <c r="Y163" s="58"/>
      <c r="Z163" s="58"/>
    </row>
    <row r="164" spans="1:26" ht="15.75" customHeight="1">
      <c r="A164" s="66" t="s">
        <v>868</v>
      </c>
      <c r="B164" s="58"/>
      <c r="C164" s="66" t="s">
        <v>869</v>
      </c>
      <c r="D164" s="58"/>
      <c r="E164" s="190"/>
      <c r="F164" s="58"/>
      <c r="G164" s="58"/>
      <c r="H164" s="58"/>
      <c r="I164" s="58"/>
      <c r="J164" s="58"/>
      <c r="K164" s="58"/>
      <c r="L164" s="58"/>
      <c r="M164" s="58"/>
      <c r="N164" s="58"/>
      <c r="O164" s="58"/>
      <c r="P164" s="58"/>
      <c r="Q164" s="58"/>
      <c r="R164" s="58"/>
      <c r="S164" s="58"/>
      <c r="T164" s="58"/>
      <c r="U164" s="58"/>
      <c r="V164" s="58"/>
      <c r="W164" s="58"/>
      <c r="X164" s="58"/>
      <c r="Y164" s="58"/>
      <c r="Z164" s="58"/>
    </row>
    <row r="165" spans="1:26" ht="15.75" customHeight="1">
      <c r="A165" s="66" t="s">
        <v>870</v>
      </c>
      <c r="B165" s="58"/>
      <c r="C165" s="66" t="s">
        <v>871</v>
      </c>
      <c r="D165" s="58"/>
      <c r="E165" s="58"/>
      <c r="F165" s="58"/>
      <c r="G165" s="58"/>
      <c r="H165" s="58"/>
      <c r="I165" s="58"/>
      <c r="J165" s="58"/>
      <c r="K165" s="58"/>
      <c r="L165" s="58"/>
      <c r="M165" s="58"/>
      <c r="N165" s="58"/>
      <c r="O165" s="58"/>
      <c r="P165" s="58"/>
      <c r="Q165" s="58"/>
      <c r="R165" s="58"/>
      <c r="S165" s="58"/>
      <c r="T165" s="58"/>
      <c r="U165" s="58"/>
      <c r="V165" s="58"/>
      <c r="W165" s="58"/>
      <c r="X165" s="58"/>
      <c r="Y165" s="58"/>
      <c r="Z165" s="58"/>
    </row>
    <row r="166" spans="1:26" ht="15.75" customHeight="1">
      <c r="A166" s="66" t="s">
        <v>872</v>
      </c>
      <c r="B166" s="58"/>
      <c r="C166" s="22" t="s">
        <v>873</v>
      </c>
      <c r="D166" s="58"/>
      <c r="E166" s="58"/>
      <c r="F166" s="58"/>
      <c r="G166" s="58"/>
      <c r="H166" s="58"/>
      <c r="I166" s="58"/>
      <c r="J166" s="58"/>
      <c r="K166" s="58"/>
      <c r="L166" s="58"/>
      <c r="M166" s="58"/>
      <c r="N166" s="58"/>
      <c r="O166" s="58"/>
      <c r="P166" s="58"/>
      <c r="Q166" s="58"/>
      <c r="R166" s="58"/>
      <c r="S166" s="58"/>
      <c r="T166" s="58"/>
      <c r="U166" s="58"/>
      <c r="V166" s="58"/>
      <c r="W166" s="58"/>
      <c r="X166" s="58"/>
      <c r="Y166" s="58"/>
      <c r="Z166" s="58"/>
    </row>
    <row r="167" spans="1:26" ht="15.75" customHeight="1">
      <c r="A167" s="66" t="s">
        <v>874</v>
      </c>
      <c r="B167" s="58"/>
      <c r="C167" s="22" t="s">
        <v>875</v>
      </c>
      <c r="D167" s="58"/>
      <c r="E167" s="190" t="s">
        <v>876</v>
      </c>
      <c r="F167" s="58"/>
      <c r="G167" s="58"/>
      <c r="H167" s="58"/>
      <c r="I167" s="58"/>
      <c r="J167" s="58"/>
      <c r="K167" s="58"/>
      <c r="L167" s="58"/>
      <c r="M167" s="58"/>
      <c r="N167" s="58"/>
      <c r="O167" s="58"/>
      <c r="P167" s="58"/>
      <c r="Q167" s="58"/>
      <c r="R167" s="58"/>
      <c r="S167" s="58"/>
      <c r="T167" s="58"/>
      <c r="U167" s="58"/>
      <c r="V167" s="58"/>
      <c r="W167" s="58"/>
      <c r="X167" s="58"/>
      <c r="Y167" s="58"/>
      <c r="Z167" s="58"/>
    </row>
    <row r="168" spans="1:26" ht="15.75" customHeight="1">
      <c r="A168" s="186" t="s">
        <v>877</v>
      </c>
      <c r="B168" s="58"/>
      <c r="C168" s="58"/>
      <c r="D168" s="58"/>
      <c r="E168" s="58" t="s">
        <v>524</v>
      </c>
      <c r="F168" s="58"/>
      <c r="G168" s="58"/>
      <c r="H168" s="58"/>
      <c r="I168" s="58"/>
      <c r="J168" s="58"/>
      <c r="K168" s="58"/>
      <c r="L168" s="58"/>
      <c r="M168" s="58"/>
      <c r="N168" s="58"/>
      <c r="O168" s="58"/>
      <c r="P168" s="58"/>
      <c r="Q168" s="58"/>
      <c r="R168" s="58"/>
      <c r="S168" s="58"/>
      <c r="T168" s="58"/>
      <c r="U168" s="58"/>
      <c r="V168" s="58"/>
      <c r="W168" s="58"/>
      <c r="X168" s="58"/>
      <c r="Y168" s="58"/>
      <c r="Z168" s="58"/>
    </row>
    <row r="169" spans="1:26" ht="15.75" customHeight="1">
      <c r="A169" s="58"/>
      <c r="B169" s="58"/>
      <c r="C169" s="58"/>
      <c r="D169" s="58"/>
      <c r="E169" s="58" t="s">
        <v>878</v>
      </c>
      <c r="F169" s="58"/>
      <c r="G169" s="58"/>
      <c r="H169" s="58"/>
      <c r="I169" s="58"/>
      <c r="J169" s="58"/>
      <c r="K169" s="58"/>
      <c r="L169" s="58"/>
      <c r="M169" s="58"/>
      <c r="N169" s="58"/>
      <c r="O169" s="58"/>
      <c r="P169" s="58"/>
      <c r="Q169" s="58"/>
      <c r="R169" s="58"/>
      <c r="S169" s="58"/>
      <c r="T169" s="58"/>
      <c r="U169" s="58"/>
      <c r="V169" s="58"/>
      <c r="W169" s="58"/>
      <c r="X169" s="58"/>
      <c r="Y169" s="58"/>
      <c r="Z169" s="58"/>
    </row>
    <row r="170" spans="1:26" ht="15.75" customHeight="1">
      <c r="A170" s="190" t="s">
        <v>879</v>
      </c>
      <c r="B170" s="58"/>
      <c r="C170" s="58"/>
      <c r="D170" s="58"/>
      <c r="E170" s="58" t="s">
        <v>880</v>
      </c>
      <c r="F170" s="58"/>
      <c r="G170" s="58"/>
      <c r="H170" s="58"/>
      <c r="I170" s="58"/>
      <c r="J170" s="58"/>
      <c r="K170" s="58"/>
      <c r="L170" s="58"/>
      <c r="M170" s="58"/>
      <c r="N170" s="58"/>
      <c r="O170" s="58"/>
      <c r="P170" s="58"/>
      <c r="Q170" s="58"/>
      <c r="R170" s="58"/>
      <c r="S170" s="58"/>
      <c r="T170" s="58"/>
      <c r="U170" s="58"/>
      <c r="V170" s="58"/>
      <c r="W170" s="58"/>
      <c r="X170" s="58"/>
      <c r="Y170" s="58"/>
      <c r="Z170" s="58"/>
    </row>
    <row r="171" spans="1:26" ht="15.75" customHeight="1">
      <c r="A171" s="58"/>
      <c r="B171" s="58"/>
      <c r="C171" s="58"/>
      <c r="D171" s="58"/>
      <c r="E171" s="58" t="s">
        <v>881</v>
      </c>
      <c r="F171" s="58"/>
      <c r="G171" s="58"/>
      <c r="H171" s="58"/>
      <c r="I171" s="58"/>
      <c r="J171" s="58"/>
      <c r="K171" s="58"/>
      <c r="L171" s="58"/>
      <c r="M171" s="58"/>
      <c r="N171" s="58"/>
      <c r="O171" s="58"/>
      <c r="P171" s="58"/>
      <c r="Q171" s="58"/>
      <c r="R171" s="58"/>
      <c r="S171" s="58"/>
      <c r="T171" s="58"/>
      <c r="U171" s="58"/>
      <c r="V171" s="58"/>
      <c r="W171" s="58"/>
      <c r="X171" s="58"/>
      <c r="Y171" s="58"/>
      <c r="Z171" s="58"/>
    </row>
    <row r="172" spans="1:26" ht="15.75" customHeight="1">
      <c r="A172" s="58" t="s">
        <v>882</v>
      </c>
      <c r="B172" s="58"/>
      <c r="C172" s="58"/>
      <c r="D172" s="58"/>
      <c r="E172" s="58" t="s">
        <v>883</v>
      </c>
      <c r="F172" s="58"/>
      <c r="G172" s="58"/>
      <c r="H172" s="58"/>
      <c r="I172" s="58"/>
      <c r="J172" s="58"/>
      <c r="K172" s="58"/>
      <c r="L172" s="58"/>
      <c r="M172" s="58"/>
      <c r="N172" s="58"/>
      <c r="O172" s="58"/>
      <c r="P172" s="58"/>
      <c r="Q172" s="58"/>
      <c r="R172" s="58"/>
      <c r="S172" s="58"/>
      <c r="T172" s="58"/>
      <c r="U172" s="58"/>
      <c r="V172" s="58"/>
      <c r="W172" s="58"/>
      <c r="X172" s="58"/>
      <c r="Y172" s="58"/>
      <c r="Z172" s="58"/>
    </row>
    <row r="173" spans="1:26" ht="15.75" customHeight="1">
      <c r="A173" s="58" t="s">
        <v>884</v>
      </c>
      <c r="B173" s="58"/>
      <c r="C173" s="58"/>
      <c r="D173" s="58"/>
      <c r="E173" s="58" t="s">
        <v>885</v>
      </c>
      <c r="F173" s="58"/>
      <c r="G173" s="58"/>
      <c r="H173" s="58"/>
      <c r="I173" s="58"/>
      <c r="J173" s="58"/>
      <c r="K173" s="58"/>
      <c r="L173" s="58"/>
      <c r="M173" s="58"/>
      <c r="N173" s="58"/>
      <c r="O173" s="58"/>
      <c r="P173" s="58"/>
      <c r="Q173" s="58"/>
      <c r="R173" s="58"/>
      <c r="S173" s="58"/>
      <c r="T173" s="58"/>
      <c r="U173" s="58"/>
      <c r="V173" s="58"/>
      <c r="W173" s="58"/>
      <c r="X173" s="58"/>
      <c r="Y173" s="58"/>
      <c r="Z173" s="58"/>
    </row>
    <row r="174" spans="1:26" ht="15.75" customHeight="1">
      <c r="A174" s="58"/>
      <c r="B174" s="58"/>
      <c r="C174" s="58"/>
      <c r="D174" s="58"/>
      <c r="E174" s="58" t="s">
        <v>886</v>
      </c>
      <c r="F174" s="58"/>
      <c r="G174" s="58"/>
      <c r="H174" s="58"/>
      <c r="I174" s="58"/>
      <c r="J174" s="58"/>
      <c r="K174" s="58"/>
      <c r="L174" s="58"/>
      <c r="M174" s="58"/>
      <c r="N174" s="58"/>
      <c r="O174" s="58"/>
      <c r="P174" s="58"/>
      <c r="Q174" s="58"/>
      <c r="R174" s="58"/>
      <c r="S174" s="58"/>
      <c r="T174" s="58"/>
      <c r="U174" s="58"/>
      <c r="V174" s="58"/>
      <c r="W174" s="58"/>
      <c r="X174" s="58"/>
      <c r="Y174" s="58"/>
      <c r="Z174" s="58"/>
    </row>
    <row r="175" spans="1:26" ht="15.75" customHeight="1">
      <c r="A175" s="58" t="s">
        <v>887</v>
      </c>
      <c r="B175" s="58"/>
      <c r="C175" s="58"/>
      <c r="D175" s="58"/>
      <c r="E175" s="58" t="s">
        <v>888</v>
      </c>
      <c r="F175" s="58"/>
      <c r="G175" s="58"/>
      <c r="H175" s="58"/>
      <c r="I175" s="58"/>
      <c r="J175" s="58"/>
      <c r="K175" s="58"/>
      <c r="L175" s="58"/>
      <c r="M175" s="58"/>
      <c r="N175" s="58"/>
      <c r="O175" s="58"/>
      <c r="P175" s="58"/>
      <c r="Q175" s="58"/>
      <c r="R175" s="58"/>
      <c r="S175" s="58"/>
      <c r="T175" s="58"/>
      <c r="U175" s="58"/>
      <c r="V175" s="58"/>
      <c r="W175" s="58"/>
      <c r="X175" s="58"/>
      <c r="Y175" s="58"/>
      <c r="Z175" s="58"/>
    </row>
    <row r="176" spans="1:26" ht="15.75" customHeight="1">
      <c r="A176" s="58" t="s">
        <v>884</v>
      </c>
      <c r="B176" s="58"/>
      <c r="C176" s="58"/>
      <c r="D176" s="58"/>
      <c r="E176" s="58" t="s">
        <v>889</v>
      </c>
      <c r="F176" s="58"/>
      <c r="G176" s="58"/>
      <c r="H176" s="58"/>
      <c r="I176" s="58"/>
      <c r="J176" s="58"/>
      <c r="K176" s="58"/>
      <c r="L176" s="58"/>
      <c r="M176" s="58"/>
      <c r="N176" s="58"/>
      <c r="O176" s="58"/>
      <c r="P176" s="58"/>
      <c r="Q176" s="58"/>
      <c r="R176" s="58"/>
      <c r="S176" s="58"/>
      <c r="T176" s="58"/>
      <c r="U176" s="58"/>
      <c r="V176" s="58"/>
      <c r="W176" s="58"/>
      <c r="X176" s="58"/>
      <c r="Y176" s="58"/>
      <c r="Z176" s="58"/>
    </row>
    <row r="177" spans="1:26" ht="15.75" customHeight="1">
      <c r="A177" s="58" t="s">
        <v>890</v>
      </c>
      <c r="B177" s="58"/>
      <c r="C177" s="58"/>
      <c r="D177" s="58"/>
      <c r="E177" s="58" t="s">
        <v>891</v>
      </c>
      <c r="F177" s="58"/>
      <c r="G177" s="58"/>
      <c r="H177" s="58"/>
      <c r="I177" s="58"/>
      <c r="J177" s="58"/>
      <c r="K177" s="58"/>
      <c r="L177" s="58"/>
      <c r="M177" s="58"/>
      <c r="N177" s="58"/>
      <c r="O177" s="58"/>
      <c r="P177" s="58"/>
      <c r="Q177" s="58"/>
      <c r="R177" s="58"/>
      <c r="S177" s="58"/>
      <c r="T177" s="58"/>
      <c r="U177" s="58"/>
      <c r="V177" s="58"/>
      <c r="W177" s="58"/>
      <c r="X177" s="58"/>
      <c r="Y177" s="58"/>
      <c r="Z177" s="58"/>
    </row>
    <row r="178" spans="1:26" ht="15.75" customHeight="1">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row>
    <row r="179" spans="1:26" ht="15.75" customHeight="1">
      <c r="A179" s="58" t="s">
        <v>892</v>
      </c>
      <c r="B179" s="58"/>
      <c r="C179" s="58"/>
      <c r="D179" s="58"/>
      <c r="E179" s="190" t="s">
        <v>893</v>
      </c>
      <c r="F179" s="58"/>
      <c r="G179" s="58"/>
      <c r="H179" s="58"/>
      <c r="I179" s="58"/>
      <c r="J179" s="58"/>
      <c r="K179" s="58"/>
      <c r="L179" s="58"/>
      <c r="M179" s="58"/>
      <c r="N179" s="58"/>
      <c r="O179" s="58"/>
      <c r="P179" s="58"/>
      <c r="Q179" s="58"/>
      <c r="R179" s="58"/>
      <c r="S179" s="58"/>
      <c r="T179" s="58"/>
      <c r="U179" s="58"/>
      <c r="V179" s="58"/>
      <c r="W179" s="58"/>
      <c r="X179" s="58"/>
      <c r="Y179" s="58"/>
      <c r="Z179" s="58"/>
    </row>
    <row r="180" spans="1:26" ht="15.75" customHeight="1">
      <c r="A180" s="58"/>
      <c r="B180" s="58"/>
      <c r="C180" s="58"/>
      <c r="D180" s="58"/>
      <c r="E180" s="190" t="s">
        <v>894</v>
      </c>
      <c r="F180" s="58"/>
      <c r="G180" s="58"/>
      <c r="H180" s="58"/>
      <c r="I180" s="58"/>
      <c r="J180" s="58"/>
      <c r="K180" s="58"/>
      <c r="L180" s="58"/>
      <c r="M180" s="58"/>
      <c r="N180" s="58"/>
      <c r="O180" s="58"/>
      <c r="P180" s="58"/>
      <c r="Q180" s="58"/>
      <c r="R180" s="58"/>
      <c r="S180" s="58"/>
      <c r="T180" s="58"/>
      <c r="U180" s="58"/>
      <c r="V180" s="58"/>
      <c r="W180" s="58"/>
      <c r="X180" s="58"/>
      <c r="Y180" s="58"/>
      <c r="Z180" s="58"/>
    </row>
    <row r="181" spans="1:26" ht="15.75" customHeight="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row>
    <row r="182" spans="1:26" ht="15.75" customHeight="1">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row>
    <row r="183" spans="1:26" ht="15.75" customHeight="1">
      <c r="A183" s="58"/>
      <c r="B183" s="58"/>
      <c r="C183" s="58"/>
      <c r="D183" s="58"/>
      <c r="E183" s="189" t="s">
        <v>895</v>
      </c>
      <c r="F183" s="58"/>
      <c r="G183" s="58"/>
      <c r="H183" s="58"/>
      <c r="I183" s="58"/>
      <c r="J183" s="58"/>
      <c r="K183" s="58"/>
      <c r="L183" s="58"/>
      <c r="M183" s="58"/>
      <c r="N183" s="58"/>
      <c r="O183" s="58"/>
      <c r="P183" s="58"/>
      <c r="Q183" s="58"/>
      <c r="R183" s="58"/>
      <c r="S183" s="58"/>
      <c r="T183" s="58"/>
      <c r="U183" s="58"/>
      <c r="V183" s="58"/>
      <c r="W183" s="58"/>
      <c r="X183" s="58"/>
      <c r="Y183" s="58"/>
      <c r="Z183" s="58"/>
    </row>
    <row r="184" spans="1:26" ht="15.75" customHeight="1">
      <c r="A184" s="190" t="s">
        <v>896</v>
      </c>
      <c r="B184" s="58"/>
      <c r="C184" s="58"/>
      <c r="D184" s="58"/>
      <c r="E184" s="190" t="s">
        <v>897</v>
      </c>
      <c r="F184" s="58"/>
      <c r="G184" s="58"/>
      <c r="H184" s="58"/>
      <c r="I184" s="58"/>
      <c r="J184" s="58"/>
      <c r="K184" s="58"/>
      <c r="L184" s="58"/>
      <c r="M184" s="58"/>
      <c r="N184" s="58"/>
      <c r="O184" s="58"/>
      <c r="P184" s="58"/>
      <c r="Q184" s="58"/>
      <c r="R184" s="58"/>
      <c r="S184" s="58"/>
      <c r="T184" s="58"/>
      <c r="U184" s="58"/>
      <c r="V184" s="58"/>
      <c r="W184" s="58"/>
      <c r="X184" s="58"/>
      <c r="Y184" s="58"/>
      <c r="Z184" s="58"/>
    </row>
    <row r="185" spans="1:26" ht="15.75" customHeight="1">
      <c r="A185" s="58"/>
      <c r="B185" s="58"/>
      <c r="C185" s="58"/>
      <c r="D185" s="58"/>
      <c r="E185" s="186" t="s">
        <v>898</v>
      </c>
      <c r="F185" s="58"/>
      <c r="G185" s="58"/>
      <c r="H185" s="58"/>
      <c r="I185" s="58"/>
      <c r="J185" s="58"/>
      <c r="K185" s="58"/>
      <c r="L185" s="58"/>
      <c r="M185" s="58"/>
      <c r="N185" s="58"/>
      <c r="O185" s="58"/>
      <c r="P185" s="58"/>
      <c r="Q185" s="58"/>
      <c r="R185" s="58"/>
      <c r="S185" s="58"/>
      <c r="T185" s="58"/>
      <c r="U185" s="58"/>
      <c r="V185" s="58"/>
      <c r="W185" s="58"/>
      <c r="X185" s="58"/>
      <c r="Y185" s="58"/>
      <c r="Z185" s="58"/>
    </row>
    <row r="186" spans="1:26" ht="15.75" customHeight="1">
      <c r="A186" s="190" t="s">
        <v>899</v>
      </c>
      <c r="B186" s="58"/>
      <c r="C186" s="58"/>
      <c r="D186" s="58"/>
      <c r="E186" s="186" t="s">
        <v>900</v>
      </c>
      <c r="F186" s="58"/>
      <c r="G186" s="58"/>
      <c r="H186" s="58"/>
      <c r="I186" s="58"/>
      <c r="J186" s="58"/>
      <c r="K186" s="58"/>
      <c r="L186" s="58"/>
      <c r="M186" s="58"/>
      <c r="N186" s="58"/>
      <c r="O186" s="58"/>
      <c r="P186" s="58"/>
      <c r="Q186" s="58"/>
      <c r="R186" s="58"/>
      <c r="S186" s="58"/>
      <c r="T186" s="58"/>
      <c r="U186" s="58"/>
      <c r="V186" s="58"/>
      <c r="W186" s="58"/>
      <c r="X186" s="58"/>
      <c r="Y186" s="58"/>
      <c r="Z186" s="58"/>
    </row>
    <row r="187" spans="1:26" ht="15.75" customHeight="1">
      <c r="A187" s="58" t="s">
        <v>901</v>
      </c>
      <c r="B187" s="58"/>
      <c r="C187" s="222" t="s">
        <v>902</v>
      </c>
      <c r="D187" s="58"/>
      <c r="E187" s="186" t="s">
        <v>827</v>
      </c>
      <c r="F187" s="58"/>
      <c r="G187" s="58"/>
      <c r="H187" s="58"/>
      <c r="I187" s="58"/>
      <c r="J187" s="58"/>
      <c r="K187" s="58"/>
      <c r="L187" s="58"/>
      <c r="M187" s="58"/>
      <c r="N187" s="58"/>
      <c r="O187" s="58"/>
      <c r="P187" s="58"/>
      <c r="Q187" s="58"/>
      <c r="R187" s="58"/>
      <c r="S187" s="58"/>
      <c r="T187" s="58"/>
      <c r="U187" s="58"/>
      <c r="V187" s="58"/>
      <c r="W187" s="58"/>
      <c r="X187" s="58"/>
      <c r="Y187" s="58"/>
      <c r="Z187" s="58"/>
    </row>
    <row r="188" spans="1:26" ht="15.75" customHeight="1">
      <c r="A188" s="58" t="s">
        <v>903</v>
      </c>
      <c r="B188" s="58"/>
      <c r="C188" s="223" t="s">
        <v>904</v>
      </c>
      <c r="D188" s="58"/>
      <c r="E188" s="186" t="s">
        <v>830</v>
      </c>
      <c r="F188" s="58"/>
      <c r="G188" s="58"/>
      <c r="H188" s="58"/>
      <c r="I188" s="58"/>
      <c r="J188" s="58"/>
      <c r="K188" s="58"/>
      <c r="L188" s="58"/>
      <c r="M188" s="58"/>
      <c r="N188" s="58"/>
      <c r="O188" s="58"/>
      <c r="P188" s="58"/>
      <c r="Q188" s="58"/>
      <c r="R188" s="58"/>
      <c r="S188" s="58"/>
      <c r="T188" s="58"/>
      <c r="U188" s="58"/>
      <c r="V188" s="58"/>
      <c r="W188" s="58"/>
      <c r="X188" s="58"/>
      <c r="Y188" s="58"/>
      <c r="Z188" s="58"/>
    </row>
    <row r="189" spans="1:26" ht="15.75" customHeight="1">
      <c r="A189" s="58" t="s">
        <v>905</v>
      </c>
      <c r="B189" s="58"/>
      <c r="C189" s="223" t="s">
        <v>906</v>
      </c>
      <c r="D189" s="58"/>
      <c r="E189" s="186" t="s">
        <v>833</v>
      </c>
      <c r="F189" s="58"/>
      <c r="G189" s="58"/>
      <c r="H189" s="58"/>
      <c r="I189" s="58"/>
      <c r="J189" s="58"/>
      <c r="K189" s="58"/>
      <c r="L189" s="58"/>
      <c r="M189" s="58"/>
      <c r="N189" s="58"/>
      <c r="O189" s="58"/>
      <c r="P189" s="58"/>
      <c r="Q189" s="58"/>
      <c r="R189" s="58"/>
      <c r="S189" s="58"/>
      <c r="T189" s="58"/>
      <c r="U189" s="58"/>
      <c r="V189" s="58"/>
      <c r="W189" s="58"/>
      <c r="X189" s="58"/>
      <c r="Y189" s="58"/>
      <c r="Z189" s="58"/>
    </row>
    <row r="190" spans="1:26" ht="15.75" customHeight="1">
      <c r="A190" s="58" t="s">
        <v>907</v>
      </c>
      <c r="B190" s="58"/>
      <c r="C190" s="223" t="s">
        <v>908</v>
      </c>
      <c r="D190" s="58"/>
      <c r="E190" s="186" t="s">
        <v>836</v>
      </c>
      <c r="F190" s="58"/>
      <c r="G190" s="58"/>
      <c r="H190" s="58"/>
      <c r="I190" s="58"/>
      <c r="J190" s="58"/>
      <c r="K190" s="58"/>
      <c r="L190" s="58"/>
      <c r="M190" s="58"/>
      <c r="N190" s="58"/>
      <c r="O190" s="58"/>
      <c r="P190" s="58"/>
      <c r="Q190" s="58"/>
      <c r="R190" s="58"/>
      <c r="S190" s="58"/>
      <c r="T190" s="58"/>
      <c r="U190" s="58"/>
      <c r="V190" s="58"/>
      <c r="W190" s="58"/>
      <c r="X190" s="58"/>
      <c r="Y190" s="58"/>
      <c r="Z190" s="58"/>
    </row>
    <row r="191" spans="1:26" ht="15.75" customHeight="1">
      <c r="A191" s="58" t="s">
        <v>909</v>
      </c>
      <c r="B191" s="58"/>
      <c r="C191" s="190" t="s">
        <v>910</v>
      </c>
      <c r="D191" s="58"/>
      <c r="E191" s="186" t="s">
        <v>838</v>
      </c>
      <c r="F191" s="58"/>
      <c r="G191" s="58"/>
      <c r="H191" s="58"/>
      <c r="I191" s="58"/>
      <c r="J191" s="58"/>
      <c r="K191" s="58"/>
      <c r="L191" s="58"/>
      <c r="M191" s="58"/>
      <c r="N191" s="58"/>
      <c r="O191" s="58"/>
      <c r="P191" s="58"/>
      <c r="Q191" s="58"/>
      <c r="R191" s="58"/>
      <c r="S191" s="58"/>
      <c r="T191" s="58"/>
      <c r="U191" s="58"/>
      <c r="V191" s="58"/>
      <c r="W191" s="58"/>
      <c r="X191" s="58"/>
      <c r="Y191" s="58"/>
      <c r="Z191" s="58"/>
    </row>
    <row r="192" spans="1:26" ht="15.75" customHeight="1">
      <c r="A192" s="58"/>
      <c r="B192" s="58"/>
      <c r="C192" s="223" t="s">
        <v>715</v>
      </c>
      <c r="D192" s="58"/>
      <c r="E192" s="169" t="s">
        <v>542</v>
      </c>
      <c r="F192" s="58"/>
      <c r="G192" s="58"/>
      <c r="H192" s="58"/>
      <c r="I192" s="58"/>
      <c r="J192" s="58"/>
      <c r="K192" s="58"/>
      <c r="L192" s="58"/>
      <c r="M192" s="58"/>
      <c r="N192" s="58"/>
      <c r="O192" s="58"/>
      <c r="P192" s="58"/>
      <c r="Q192" s="58"/>
      <c r="R192" s="58"/>
      <c r="S192" s="58"/>
      <c r="T192" s="58"/>
      <c r="U192" s="58"/>
      <c r="V192" s="58"/>
      <c r="W192" s="58"/>
      <c r="X192" s="58"/>
      <c r="Y192" s="58"/>
      <c r="Z192" s="58"/>
    </row>
    <row r="193" spans="1:26" ht="15.75" customHeight="1">
      <c r="A193" s="58" t="s">
        <v>911</v>
      </c>
      <c r="B193" s="58"/>
      <c r="C193" s="223" t="s">
        <v>912</v>
      </c>
      <c r="D193" s="58"/>
      <c r="E193" s="186" t="s">
        <v>841</v>
      </c>
      <c r="F193" s="58"/>
      <c r="G193" s="58"/>
      <c r="H193" s="58"/>
      <c r="I193" s="58"/>
      <c r="J193" s="58"/>
      <c r="K193" s="58"/>
      <c r="L193" s="58"/>
      <c r="M193" s="58"/>
      <c r="N193" s="58"/>
      <c r="O193" s="58"/>
      <c r="P193" s="58"/>
      <c r="Q193" s="58"/>
      <c r="R193" s="58"/>
      <c r="S193" s="58"/>
      <c r="T193" s="58"/>
      <c r="U193" s="58"/>
      <c r="V193" s="58"/>
      <c r="W193" s="58"/>
      <c r="X193" s="58"/>
      <c r="Y193" s="58"/>
      <c r="Z193" s="58"/>
    </row>
    <row r="194" spans="1:26" ht="15.75" customHeight="1">
      <c r="A194" s="58"/>
      <c r="B194" s="58"/>
      <c r="C194" s="223" t="s">
        <v>913</v>
      </c>
      <c r="D194" s="58"/>
      <c r="E194" s="186" t="s">
        <v>843</v>
      </c>
      <c r="F194" s="58"/>
      <c r="G194" s="58"/>
      <c r="H194" s="58"/>
      <c r="I194" s="58"/>
      <c r="J194" s="58"/>
      <c r="K194" s="58"/>
      <c r="L194" s="58"/>
      <c r="M194" s="58"/>
      <c r="N194" s="58"/>
      <c r="O194" s="58"/>
      <c r="P194" s="58"/>
      <c r="Q194" s="58"/>
      <c r="R194" s="58"/>
      <c r="S194" s="58"/>
      <c r="T194" s="58"/>
      <c r="U194" s="58"/>
      <c r="V194" s="58"/>
      <c r="W194" s="58"/>
      <c r="X194" s="58"/>
      <c r="Y194" s="58"/>
      <c r="Z194" s="58"/>
    </row>
    <row r="195" spans="1:26" ht="15.75" customHeight="1">
      <c r="A195" s="58" t="s">
        <v>914</v>
      </c>
      <c r="B195" s="58"/>
      <c r="C195" s="66" t="s">
        <v>915</v>
      </c>
      <c r="D195" s="58"/>
      <c r="E195" s="186" t="s">
        <v>845</v>
      </c>
      <c r="F195" s="58"/>
      <c r="G195" s="58"/>
      <c r="H195" s="58"/>
      <c r="I195" s="58"/>
      <c r="J195" s="58"/>
      <c r="K195" s="58"/>
      <c r="L195" s="58"/>
      <c r="M195" s="58"/>
      <c r="N195" s="58"/>
      <c r="O195" s="58"/>
      <c r="P195" s="58"/>
      <c r="Q195" s="58"/>
      <c r="R195" s="58"/>
      <c r="S195" s="58"/>
      <c r="T195" s="58"/>
      <c r="U195" s="58"/>
      <c r="V195" s="58"/>
      <c r="W195" s="58"/>
      <c r="X195" s="58"/>
      <c r="Y195" s="58"/>
      <c r="Z195" s="58"/>
    </row>
    <row r="196" spans="1:26" ht="15.75" customHeight="1">
      <c r="A196" s="190" t="s">
        <v>916</v>
      </c>
      <c r="B196" s="58"/>
      <c r="C196" s="223"/>
      <c r="D196" s="58"/>
      <c r="E196" s="186" t="s">
        <v>847</v>
      </c>
      <c r="F196" s="58"/>
      <c r="G196" s="58"/>
      <c r="H196" s="58"/>
      <c r="I196" s="58"/>
      <c r="J196" s="58"/>
      <c r="K196" s="58"/>
      <c r="L196" s="58"/>
      <c r="M196" s="58"/>
      <c r="N196" s="58"/>
      <c r="O196" s="58"/>
      <c r="P196" s="58"/>
      <c r="Q196" s="58"/>
      <c r="R196" s="58"/>
      <c r="S196" s="58"/>
      <c r="T196" s="58"/>
      <c r="U196" s="58"/>
      <c r="V196" s="58"/>
      <c r="W196" s="58"/>
      <c r="X196" s="58"/>
      <c r="Y196" s="58"/>
      <c r="Z196" s="58"/>
    </row>
    <row r="197" spans="1:26" ht="15.75" customHeight="1">
      <c r="A197" s="190" t="s">
        <v>917</v>
      </c>
      <c r="B197" s="58"/>
      <c r="D197" s="58"/>
      <c r="E197" s="220" t="s">
        <v>849</v>
      </c>
      <c r="F197" s="58"/>
      <c r="G197" s="58"/>
      <c r="H197" s="58"/>
      <c r="I197" s="58"/>
      <c r="J197" s="58"/>
      <c r="K197" s="58"/>
      <c r="L197" s="58"/>
      <c r="M197" s="58"/>
      <c r="N197" s="58"/>
      <c r="O197" s="58"/>
      <c r="P197" s="58"/>
      <c r="Q197" s="58"/>
      <c r="R197" s="58"/>
      <c r="S197" s="58"/>
      <c r="T197" s="58"/>
      <c r="U197" s="58"/>
      <c r="V197" s="58"/>
      <c r="W197" s="58"/>
      <c r="X197" s="58"/>
      <c r="Y197" s="58"/>
      <c r="Z197" s="58"/>
    </row>
    <row r="198" spans="1:26" ht="15.75" customHeight="1">
      <c r="A198" s="58"/>
      <c r="B198" s="58"/>
      <c r="D198" s="58"/>
      <c r="E198" s="186" t="s">
        <v>851</v>
      </c>
      <c r="F198" s="58"/>
      <c r="G198" s="58"/>
      <c r="H198" s="58"/>
      <c r="I198" s="58"/>
      <c r="J198" s="58"/>
      <c r="K198" s="58"/>
      <c r="L198" s="58"/>
      <c r="M198" s="58"/>
      <c r="N198" s="58"/>
      <c r="O198" s="58"/>
      <c r="P198" s="58"/>
      <c r="Q198" s="58"/>
      <c r="R198" s="58"/>
      <c r="S198" s="58"/>
      <c r="T198" s="58"/>
      <c r="U198" s="58"/>
      <c r="V198" s="58"/>
      <c r="W198" s="58"/>
      <c r="X198" s="58"/>
      <c r="Y198" s="58"/>
      <c r="Z198" s="58"/>
    </row>
    <row r="199" spans="1:26" ht="15.75" customHeight="1">
      <c r="A199" s="58" t="s">
        <v>918</v>
      </c>
      <c r="B199" s="58"/>
      <c r="D199" s="58"/>
      <c r="E199" s="186" t="s">
        <v>852</v>
      </c>
      <c r="F199" s="58"/>
      <c r="G199" s="58"/>
      <c r="H199" s="58"/>
      <c r="I199" s="58"/>
      <c r="J199" s="58"/>
      <c r="K199" s="58"/>
      <c r="L199" s="58"/>
      <c r="M199" s="58"/>
      <c r="N199" s="58"/>
      <c r="O199" s="58"/>
      <c r="P199" s="58"/>
      <c r="Q199" s="58"/>
      <c r="R199" s="58"/>
      <c r="S199" s="58"/>
      <c r="T199" s="58"/>
      <c r="U199" s="58"/>
      <c r="V199" s="58"/>
      <c r="W199" s="58"/>
      <c r="X199" s="58"/>
      <c r="Y199" s="58"/>
      <c r="Z199" s="58"/>
    </row>
    <row r="200" spans="1:26" ht="15.75" customHeight="1">
      <c r="A200" s="58" t="s">
        <v>919</v>
      </c>
      <c r="B200" s="58"/>
      <c r="D200" s="58"/>
      <c r="E200" s="186" t="s">
        <v>855</v>
      </c>
      <c r="F200" s="58"/>
      <c r="G200" s="58"/>
      <c r="H200" s="58"/>
      <c r="I200" s="58"/>
      <c r="J200" s="58"/>
      <c r="K200" s="58"/>
      <c r="L200" s="58"/>
      <c r="M200" s="58"/>
      <c r="N200" s="58"/>
      <c r="O200" s="58"/>
      <c r="P200" s="58"/>
      <c r="Q200" s="58"/>
      <c r="R200" s="58"/>
      <c r="S200" s="58"/>
      <c r="T200" s="58"/>
      <c r="U200" s="58"/>
      <c r="V200" s="58"/>
      <c r="W200" s="58"/>
      <c r="X200" s="58"/>
      <c r="Y200" s="58"/>
      <c r="Z200" s="58"/>
    </row>
    <row r="201" spans="1:26" ht="15.75" customHeight="1">
      <c r="A201" s="58" t="s">
        <v>920</v>
      </c>
      <c r="B201" s="58"/>
      <c r="C201" s="58"/>
      <c r="D201" s="58"/>
      <c r="E201" s="190" t="s">
        <v>921</v>
      </c>
      <c r="F201" s="58"/>
      <c r="G201" s="58"/>
      <c r="H201" s="58"/>
      <c r="I201" s="58"/>
      <c r="J201" s="58"/>
      <c r="K201" s="58"/>
      <c r="L201" s="58"/>
      <c r="M201" s="58"/>
      <c r="N201" s="58"/>
      <c r="O201" s="58"/>
      <c r="P201" s="58"/>
      <c r="Q201" s="58"/>
      <c r="R201" s="58"/>
      <c r="S201" s="58"/>
      <c r="T201" s="58"/>
      <c r="U201" s="58"/>
      <c r="V201" s="58"/>
      <c r="W201" s="58"/>
      <c r="X201" s="58"/>
      <c r="Y201" s="58"/>
      <c r="Z201" s="58"/>
    </row>
    <row r="202" spans="1:26" ht="15.75" customHeight="1">
      <c r="A202" s="58" t="s">
        <v>922</v>
      </c>
      <c r="B202" s="58"/>
      <c r="C202" s="58"/>
      <c r="D202" s="58"/>
      <c r="E202" s="186"/>
      <c r="F202" s="58"/>
      <c r="G202" s="58"/>
      <c r="H202" s="58"/>
      <c r="I202" s="58"/>
      <c r="J202" s="58"/>
      <c r="K202" s="58"/>
      <c r="L202" s="58"/>
      <c r="M202" s="58"/>
      <c r="N202" s="58"/>
      <c r="O202" s="58"/>
      <c r="P202" s="58"/>
      <c r="Q202" s="58"/>
      <c r="R202" s="58"/>
      <c r="S202" s="58"/>
      <c r="T202" s="58"/>
      <c r="U202" s="58"/>
      <c r="V202" s="58"/>
      <c r="W202" s="58"/>
      <c r="X202" s="58"/>
      <c r="Y202" s="58"/>
      <c r="Z202" s="58"/>
    </row>
    <row r="203" spans="1:26" ht="15.75" customHeight="1">
      <c r="A203" s="58"/>
      <c r="B203" s="58"/>
      <c r="C203" s="58"/>
      <c r="D203" s="58"/>
      <c r="E203" s="186"/>
      <c r="F203" s="58"/>
      <c r="G203" s="58"/>
      <c r="H203" s="58"/>
      <c r="I203" s="58"/>
      <c r="J203" s="58"/>
      <c r="K203" s="58"/>
      <c r="L203" s="58"/>
      <c r="M203" s="58"/>
      <c r="N203" s="58"/>
      <c r="O203" s="58"/>
      <c r="P203" s="58"/>
      <c r="Q203" s="58"/>
      <c r="R203" s="58"/>
      <c r="S203" s="58"/>
      <c r="T203" s="58"/>
      <c r="U203" s="58"/>
      <c r="V203" s="58"/>
      <c r="W203" s="58"/>
      <c r="X203" s="58"/>
      <c r="Y203" s="58"/>
      <c r="Z203" s="58"/>
    </row>
    <row r="204" spans="1:26" ht="15.75" customHeight="1">
      <c r="A204" s="58" t="s">
        <v>923</v>
      </c>
      <c r="B204" s="58"/>
      <c r="C204" s="58"/>
      <c r="D204" s="58"/>
      <c r="F204" s="58"/>
      <c r="G204" s="58"/>
      <c r="H204" s="58"/>
      <c r="I204" s="58"/>
      <c r="J204" s="58"/>
      <c r="K204" s="58"/>
      <c r="L204" s="58"/>
      <c r="M204" s="58"/>
      <c r="N204" s="58"/>
      <c r="O204" s="58"/>
      <c r="P204" s="58"/>
      <c r="Q204" s="58"/>
      <c r="R204" s="58"/>
      <c r="S204" s="58"/>
      <c r="T204" s="58"/>
      <c r="U204" s="58"/>
      <c r="V204" s="58"/>
      <c r="W204" s="58"/>
      <c r="X204" s="58"/>
      <c r="Y204" s="58"/>
      <c r="Z204" s="58"/>
    </row>
    <row r="205" spans="1:26" ht="15.75" customHeight="1">
      <c r="A205" s="58"/>
      <c r="B205" s="58"/>
      <c r="C205" s="58"/>
      <c r="D205" s="58"/>
      <c r="E205" s="190"/>
      <c r="F205" s="58"/>
      <c r="G205" s="58"/>
      <c r="H205" s="58"/>
      <c r="I205" s="58"/>
      <c r="J205" s="58"/>
      <c r="K205" s="58"/>
      <c r="L205" s="58"/>
      <c r="M205" s="58"/>
      <c r="N205" s="58"/>
      <c r="O205" s="58"/>
      <c r="P205" s="58"/>
      <c r="Q205" s="58"/>
      <c r="R205" s="58"/>
      <c r="S205" s="58"/>
      <c r="T205" s="58"/>
      <c r="U205" s="58"/>
      <c r="V205" s="58"/>
      <c r="W205" s="58"/>
      <c r="X205" s="58"/>
      <c r="Y205" s="58"/>
      <c r="Z205" s="58"/>
    </row>
    <row r="206" spans="1:26" ht="15.75" customHeight="1">
      <c r="A206" s="58" t="s">
        <v>924</v>
      </c>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row>
    <row r="207" spans="1:26" ht="15.75" customHeight="1">
      <c r="A207" s="58" t="s">
        <v>925</v>
      </c>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row>
    <row r="208" spans="1:26" ht="15.75" customHeight="1">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row>
    <row r="209" spans="1:26" ht="15.75" customHeight="1">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row>
    <row r="210" spans="1:26" ht="15.75" customHeight="1">
      <c r="A210" s="58" t="s">
        <v>926</v>
      </c>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row>
    <row r="211" spans="1:26" ht="15.75" customHeight="1">
      <c r="A211" s="58" t="s">
        <v>927</v>
      </c>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row>
    <row r="212" spans="1:26" ht="15.75" customHeight="1">
      <c r="A212" s="58" t="s">
        <v>928</v>
      </c>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row>
    <row r="213" spans="1:26" ht="15.75" customHeight="1">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row>
    <row r="214" spans="1:26" ht="15.75" customHeight="1">
      <c r="A214" s="58" t="s">
        <v>929</v>
      </c>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row>
    <row r="215" spans="1:26" ht="15.75" customHeight="1">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row>
    <row r="216" spans="1:26" ht="15.75" customHeight="1">
      <c r="A216" s="58" t="s">
        <v>930</v>
      </c>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row>
    <row r="217" spans="1:26" ht="15.75" customHeight="1">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row>
    <row r="218" spans="1:26" ht="15.75" customHeight="1">
      <c r="A218" s="58" t="s">
        <v>931</v>
      </c>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row>
    <row r="219" spans="1:26" ht="15.75" customHeight="1">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row>
    <row r="220" spans="1:26" ht="15.75" customHeight="1">
      <c r="A220" s="58" t="s">
        <v>932</v>
      </c>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row>
    <row r="221" spans="1:26" ht="15.75" customHeight="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row>
    <row r="222" spans="1:26" ht="15.75" customHeight="1">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row>
    <row r="223" spans="1:26" ht="15.75" customHeight="1">
      <c r="A223" s="58" t="s">
        <v>933</v>
      </c>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row>
    <row r="224" spans="1:26" ht="15.75" customHeight="1">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row>
    <row r="225" spans="1:26" ht="15.75" customHeight="1">
      <c r="A225" s="58" t="s">
        <v>934</v>
      </c>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row>
    <row r="226" spans="1:26" ht="15.75" customHeight="1">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row>
    <row r="227" spans="1:26" ht="15.75" customHeight="1">
      <c r="A227" s="58" t="s">
        <v>935</v>
      </c>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row>
    <row r="228" spans="1:26" ht="15.75" customHeight="1">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row>
    <row r="229" spans="1:26" ht="15.75" customHeight="1">
      <c r="A229" s="58" t="s">
        <v>936</v>
      </c>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row>
    <row r="230" spans="1:26" ht="15.75" customHeight="1">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row>
    <row r="231" spans="1:26" ht="15.75" customHeight="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row>
    <row r="232" spans="1:26" ht="15.75" customHeight="1">
      <c r="A232" s="58" t="s">
        <v>937</v>
      </c>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row>
    <row r="233" spans="1:26" ht="15.75" customHeight="1">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row>
    <row r="234" spans="1:26" ht="15.75" customHeight="1">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row>
    <row r="235" spans="1:26" ht="15.75" customHeight="1">
      <c r="A235" s="58" t="s">
        <v>938</v>
      </c>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row>
    <row r="236" spans="1:26" ht="15.75" customHeight="1">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row>
    <row r="237" spans="1:26" ht="15.75" customHeight="1">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row>
    <row r="238" spans="1:26" ht="15.75" customHeight="1">
      <c r="A238" s="58" t="s">
        <v>939</v>
      </c>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row>
    <row r="239" spans="1:26" ht="15.75" customHeight="1">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row>
    <row r="240" spans="1:26" ht="15.75" customHeight="1">
      <c r="A240" s="58" t="s">
        <v>940</v>
      </c>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row>
    <row r="241" spans="1:26" ht="15.75" customHeight="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row>
    <row r="242" spans="1:26" ht="15.75" customHeight="1">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row>
    <row r="243" spans="1:26" ht="15.75" customHeight="1">
      <c r="A243" s="58" t="s">
        <v>941</v>
      </c>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5.75" customHeight="1">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5.75" customHeight="1">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5.75" customHeight="1">
      <c r="A246" s="58" t="s">
        <v>942</v>
      </c>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5.75" customHeight="1">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5.75" customHeight="1">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5.75" customHeight="1">
      <c r="A249" s="58" t="s">
        <v>943</v>
      </c>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5.75" customHeight="1">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5.75" customHeight="1">
      <c r="A251" s="58" t="s">
        <v>944</v>
      </c>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5.75" customHeight="1">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5.75" customHeight="1">
      <c r="A253" s="58" t="s">
        <v>945</v>
      </c>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5.75" customHeight="1">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5.75" customHeight="1">
      <c r="A255" s="58" t="s">
        <v>946</v>
      </c>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5.75" customHeight="1">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5.75" customHeight="1">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5.75" customHeight="1">
      <c r="A258" s="58" t="s">
        <v>145</v>
      </c>
      <c r="B258" s="58"/>
      <c r="C258" s="224" t="s">
        <v>947</v>
      </c>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5.75" customHeight="1">
      <c r="A259" s="58"/>
      <c r="B259" s="58"/>
      <c r="C259" s="225"/>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5.75" customHeight="1">
      <c r="A260" s="58"/>
      <c r="B260" s="58"/>
      <c r="C260" s="226" t="s">
        <v>948</v>
      </c>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5.75" customHeight="1">
      <c r="A261" s="58" t="s">
        <v>949</v>
      </c>
      <c r="B261" s="58"/>
      <c r="C261" s="226" t="s">
        <v>950</v>
      </c>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5.75" customHeight="1">
      <c r="A262" s="58"/>
      <c r="B262" s="58"/>
      <c r="C262" s="226" t="s">
        <v>951</v>
      </c>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5.75" customHeight="1">
      <c r="A263" s="58"/>
      <c r="B263" s="58"/>
      <c r="C263" s="226" t="s">
        <v>952</v>
      </c>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5.75" customHeight="1">
      <c r="A264" s="58" t="s">
        <v>953</v>
      </c>
      <c r="B264" s="58"/>
      <c r="C264" s="226" t="s">
        <v>954</v>
      </c>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5.75" customHeight="1">
      <c r="A265" s="58"/>
      <c r="B265" s="58"/>
      <c r="C265" s="226" t="s">
        <v>955</v>
      </c>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5.75" customHeight="1">
      <c r="A266" s="58"/>
      <c r="B266" s="58"/>
      <c r="C266" s="226" t="s">
        <v>956</v>
      </c>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5.75" customHeight="1">
      <c r="A267" s="58" t="s">
        <v>957</v>
      </c>
      <c r="B267" s="58"/>
      <c r="C267" s="226" t="s">
        <v>958</v>
      </c>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5.75" customHeight="1">
      <c r="A268" s="58"/>
      <c r="B268" s="58"/>
      <c r="C268" s="226" t="s">
        <v>958</v>
      </c>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5.75" customHeight="1">
      <c r="A269" s="58"/>
      <c r="B269" s="58"/>
      <c r="C269" s="226" t="s">
        <v>959</v>
      </c>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5.75" customHeight="1">
      <c r="A270" s="58" t="s">
        <v>960</v>
      </c>
      <c r="B270" s="58"/>
      <c r="C270" s="226" t="s">
        <v>961</v>
      </c>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5.75" customHeight="1">
      <c r="A271" s="58"/>
      <c r="B271" s="58"/>
      <c r="C271" s="226" t="s">
        <v>962</v>
      </c>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5.75" customHeight="1">
      <c r="A272" s="58" t="s">
        <v>963</v>
      </c>
      <c r="B272" s="58"/>
      <c r="C272" s="226" t="s">
        <v>964</v>
      </c>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5.75" customHeight="1">
      <c r="A273" s="58"/>
      <c r="B273" s="58"/>
      <c r="C273" s="226" t="s">
        <v>965</v>
      </c>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5.75" customHeight="1">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5.75" customHeight="1">
      <c r="A275" s="58" t="s">
        <v>966</v>
      </c>
      <c r="B275" s="58"/>
      <c r="C275" s="224" t="s">
        <v>967</v>
      </c>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5.75" customHeight="1">
      <c r="A276" s="58"/>
      <c r="B276" s="58"/>
      <c r="C276" s="225"/>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5.75" customHeight="1">
      <c r="A277" s="58"/>
      <c r="B277" s="58"/>
      <c r="C277" s="226" t="s">
        <v>968</v>
      </c>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5.75" customHeight="1">
      <c r="A278" s="58" t="s">
        <v>969</v>
      </c>
      <c r="B278" s="58"/>
      <c r="C278" s="226"/>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5.75" customHeight="1">
      <c r="A279" s="58"/>
      <c r="B279" s="58"/>
      <c r="C279" s="226" t="s">
        <v>970</v>
      </c>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5.75" customHeight="1">
      <c r="A280" s="58"/>
      <c r="B280" s="58"/>
      <c r="C280" s="226"/>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5.75" customHeight="1">
      <c r="A281" s="58" t="s">
        <v>971</v>
      </c>
      <c r="B281" s="58"/>
      <c r="C281" s="226" t="s">
        <v>972</v>
      </c>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5.75" customHeight="1">
      <c r="A282" s="58"/>
      <c r="B282" s="58"/>
      <c r="C282" s="226"/>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5.75" customHeight="1">
      <c r="A283" s="58"/>
      <c r="B283" s="58"/>
      <c r="C283" s="226" t="s">
        <v>973</v>
      </c>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5.75" customHeight="1">
      <c r="A284" s="58" t="s">
        <v>974</v>
      </c>
      <c r="B284" s="58"/>
      <c r="C284" s="226"/>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5.75" customHeight="1">
      <c r="A285" s="58"/>
      <c r="B285" s="58"/>
      <c r="C285" s="226" t="s">
        <v>975</v>
      </c>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5.75" customHeight="1">
      <c r="A286" s="58" t="s">
        <v>976</v>
      </c>
      <c r="B286" s="58"/>
      <c r="C286" s="226"/>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5.75" customHeight="1">
      <c r="A287" s="58"/>
      <c r="B287" s="58"/>
      <c r="C287" s="226" t="s">
        <v>977</v>
      </c>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5.75" customHeight="1">
      <c r="A288" s="58"/>
      <c r="B288" s="58"/>
      <c r="C288" s="226"/>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5.75" customHeight="1">
      <c r="A289" s="58" t="s">
        <v>978</v>
      </c>
      <c r="B289" s="58"/>
      <c r="C289" s="226" t="s">
        <v>979</v>
      </c>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5.75" customHeight="1">
      <c r="A290" s="58"/>
      <c r="B290" s="58"/>
      <c r="C290" s="226"/>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5.75" customHeight="1">
      <c r="A291" s="58"/>
      <c r="B291" s="58"/>
      <c r="C291" s="226" t="s">
        <v>980</v>
      </c>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5.75" customHeight="1">
      <c r="A292" s="58" t="s">
        <v>981</v>
      </c>
      <c r="B292" s="58"/>
      <c r="C292" s="226"/>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5.75" customHeight="1">
      <c r="A293" s="58"/>
      <c r="B293" s="58"/>
      <c r="C293" s="226" t="s">
        <v>982</v>
      </c>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5.75" customHeight="1">
      <c r="A294" s="58"/>
      <c r="B294" s="58"/>
      <c r="C294" s="226"/>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5.75" customHeight="1">
      <c r="A295" s="58" t="s">
        <v>983</v>
      </c>
      <c r="B295" s="58"/>
      <c r="C295" s="226" t="s">
        <v>984</v>
      </c>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5.75" customHeight="1">
      <c r="A296" s="58"/>
      <c r="B296" s="58"/>
      <c r="C296" s="226"/>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5.75" customHeight="1">
      <c r="A297" s="58"/>
      <c r="B297" s="58"/>
      <c r="C297" s="226" t="s">
        <v>985</v>
      </c>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5.75" customHeight="1">
      <c r="A298" s="58" t="s">
        <v>986</v>
      </c>
      <c r="B298" s="58"/>
      <c r="C298" s="226"/>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5.75" customHeight="1">
      <c r="A299" s="58"/>
      <c r="B299" s="58"/>
      <c r="C299" s="226" t="s">
        <v>987</v>
      </c>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5.75" customHeight="1">
      <c r="A300" s="58" t="s">
        <v>988</v>
      </c>
      <c r="B300" s="58"/>
      <c r="C300" s="226"/>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5.75" customHeight="1">
      <c r="A301" s="58"/>
      <c r="B301" s="58"/>
      <c r="C301" s="226" t="s">
        <v>989</v>
      </c>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5.75" customHeight="1">
      <c r="A302" s="58" t="s">
        <v>990</v>
      </c>
      <c r="B302" s="58"/>
      <c r="C302" s="226"/>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5.75" customHeight="1">
      <c r="A303" s="58"/>
      <c r="B303" s="58"/>
      <c r="C303" s="226" t="s">
        <v>991</v>
      </c>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5.75" customHeight="1">
      <c r="A304" s="58"/>
      <c r="B304" s="58"/>
      <c r="C304" s="226"/>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5.75" customHeight="1">
      <c r="A305" s="58" t="s">
        <v>992</v>
      </c>
      <c r="B305" s="58"/>
      <c r="C305" s="226" t="s">
        <v>993</v>
      </c>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5.75" customHeight="1">
      <c r="A306" s="58"/>
      <c r="B306" s="58"/>
      <c r="C306" s="226"/>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5.75" customHeight="1">
      <c r="A307" s="58"/>
      <c r="B307" s="58"/>
      <c r="C307" s="226" t="s">
        <v>994</v>
      </c>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5.75" customHeight="1">
      <c r="A308" s="58" t="s">
        <v>995</v>
      </c>
      <c r="B308" s="58"/>
      <c r="C308" s="226"/>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5.75" customHeight="1">
      <c r="A309" s="58"/>
      <c r="B309" s="58"/>
      <c r="C309" s="226" t="s">
        <v>996</v>
      </c>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5.75" customHeight="1">
      <c r="A310" s="58" t="s">
        <v>997</v>
      </c>
      <c r="C310" s="226"/>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5.75" customHeight="1">
      <c r="A311" s="58"/>
      <c r="B311" s="58"/>
      <c r="C311" s="226" t="s">
        <v>998</v>
      </c>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5.75" customHeight="1">
      <c r="A312" s="58" t="s">
        <v>999</v>
      </c>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5.75" customHeight="1">
      <c r="A313" s="58" t="s">
        <v>1000</v>
      </c>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5.75" customHeight="1">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5.75" customHeight="1">
      <c r="A315" s="58" t="s">
        <v>1001</v>
      </c>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5.75" customHeight="1">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5.75" customHeight="1">
      <c r="A317" s="58" t="s">
        <v>1002</v>
      </c>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5.75" customHeight="1">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5.75" customHeight="1">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5.75" customHeight="1">
      <c r="A320" s="58" t="s">
        <v>1003</v>
      </c>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5.75" customHeight="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5.75" customHeight="1">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5.75" customHeight="1">
      <c r="A323" s="58" t="s">
        <v>1004</v>
      </c>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5.75" customHeight="1">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5.75" customHeight="1">
      <c r="A325" s="58" t="s">
        <v>1005</v>
      </c>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5.75" customHeight="1">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5.75" customHeight="1">
      <c r="A327" s="58" t="s">
        <v>1006</v>
      </c>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5.75" customHeight="1">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5.75" customHeight="1">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5.75" customHeight="1">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5.75" customHeight="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5.75" customHeight="1">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5.75" customHeight="1">
      <c r="A333" s="58" t="s">
        <v>1007</v>
      </c>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5.75" customHeight="1">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5.75" customHeight="1">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5.75" customHeight="1">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5.75" customHeight="1">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5.75" customHeight="1">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5.75" customHeight="1">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5.75" customHeight="1">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5.75" customHeight="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5.75" customHeight="1">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5.75" customHeight="1">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5.75" customHeight="1">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5.75" customHeight="1">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5.75" customHeight="1">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5.75" customHeight="1">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5.75" customHeight="1">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5.75" customHeight="1">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5.75" customHeight="1">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5.75" customHeight="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5.75" customHeight="1">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5.75" customHeight="1">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5.75" customHeight="1">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5.75" customHeight="1">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5.75" customHeight="1">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5.75" customHeight="1">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5.75" customHeight="1">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5.75" customHeight="1">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5.75" customHeight="1">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5.75" customHeight="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5.75" customHeight="1">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5.75" customHeight="1">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5.75" customHeight="1">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5.75" customHeight="1">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5.75" customHeight="1">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5.75" customHeight="1">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5.75" customHeight="1">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5.75" customHeight="1">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5.75" customHeight="1">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5.75" customHeight="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5.75" customHeight="1">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5.75" customHeight="1">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5.75" customHeight="1">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5.75" customHeight="1">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5.75" customHeight="1">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5.75" customHeight="1">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5.75" customHeight="1">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5.75" customHeight="1">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5.75" customHeight="1">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5.75" customHeight="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5.75" customHeight="1">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5.75" customHeight="1">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5.75" customHeight="1">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5.75" customHeight="1">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5.75" customHeight="1">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5.75" customHeight="1">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5.75" customHeight="1">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5.75" customHeight="1">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5.75" customHeight="1">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5.75" customHeight="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5.75" customHeight="1">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5.75" customHeight="1">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5.75" customHeight="1">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5.75" customHeight="1">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5.75" customHeight="1">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5.75" customHeight="1">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5.75" customHeight="1">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5.75" customHeight="1">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5.75" customHeight="1">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5.75" customHeight="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5.75" customHeight="1">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5.75" customHeight="1">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5.75" customHeight="1">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5.75" customHeight="1">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5.75" customHeight="1">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5.75" customHeight="1">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5.75" customHeight="1">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5.75" customHeight="1">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5.75" customHeight="1">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5.75" customHeight="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5.75" customHeight="1">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5.75" customHeight="1">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5.75" customHeight="1">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5.75" customHeight="1">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5.75" customHeight="1">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5.75" customHeight="1">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5.75" customHeight="1">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5.75" customHeight="1">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5.75" customHeight="1">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5.75" customHeight="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5.75" customHeight="1">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5.75" customHeight="1">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5.75" customHeight="1">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5.75" customHeight="1">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5.75" customHeight="1">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5.75" customHeight="1">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5.75" customHeight="1">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5.75" customHeight="1">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5.75" customHeight="1">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5.75" customHeight="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5.75" customHeight="1">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5.75" customHeight="1">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5.75" customHeight="1">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5.75" customHeight="1">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5.75" customHeight="1">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5.75" customHeight="1">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5.75" customHeight="1">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5.75" customHeight="1">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5.75" customHeight="1">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5.75" customHeight="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5.75" customHeight="1">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5.75" customHeight="1">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5.75" customHeight="1">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5.75" customHeight="1">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5.75" customHeight="1">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5.75" customHeight="1">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5.75" customHeight="1">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5.75" customHeight="1">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5.75" customHeight="1">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5.75" customHeight="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5.75" customHeight="1">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5.75" customHeight="1">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5.75" customHeight="1">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5.75" customHeight="1">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5.75" customHeight="1">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5.75" customHeight="1">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5.75" customHeight="1">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5.75" customHeight="1">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5.75" customHeight="1">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5.75" customHeight="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5.75" customHeight="1">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5.75" customHeight="1">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5.75" customHeight="1">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5.75" customHeight="1">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5.75" customHeight="1">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5.75" customHeight="1">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5.75" customHeight="1">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5.75" customHeight="1">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5.75" customHeight="1">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5.75" customHeight="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5.75" customHeight="1">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5.75" customHeight="1">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5.75" customHeight="1">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5.75" customHeight="1">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5.75" customHeight="1">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5.75" customHeight="1">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5.75" customHeight="1">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5.75" customHeight="1">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5.75" customHeight="1">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5.75" customHeight="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5.75" customHeight="1">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5.75" customHeight="1">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5.75" customHeight="1">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5.75" customHeight="1">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5.75" customHeight="1">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5.75" customHeight="1">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5.75" customHeight="1">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5.75" customHeight="1">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5.75" customHeight="1">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5.75" customHeight="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5.75" customHeight="1">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5.75" customHeight="1">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5.75" customHeight="1">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5.75" customHeight="1">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5.75" customHeight="1">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5.75" customHeight="1">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5.75" customHeight="1">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5.75" customHeight="1">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5.75" customHeight="1">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5.75" customHeight="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5.75" customHeight="1">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5.75" customHeight="1">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5.75" customHeight="1">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5.75" customHeight="1">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5.75" customHeight="1">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5.75" customHeight="1">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5.75" customHeight="1">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5.75" customHeight="1">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5.75" customHeight="1">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5.75" customHeight="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5.75" customHeight="1">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5.75" customHeight="1">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5.75" customHeight="1">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5.75" customHeight="1">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5.75" customHeight="1">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5.75" customHeight="1">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5.75" customHeight="1">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5.75" customHeight="1">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5.75" customHeight="1">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5.75" customHeight="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5.75" customHeight="1">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5.75" customHeight="1">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5.75" customHeight="1">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5.75" customHeight="1">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5.75" customHeight="1">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5.75" customHeight="1">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5.75" customHeight="1">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5.75" customHeight="1">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5.75" customHeight="1">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5.75" customHeight="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5.75" customHeight="1">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5.75" customHeight="1">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5.75" customHeight="1"/>
    <row r="535" spans="1:26" ht="15.75" customHeight="1"/>
    <row r="536" spans="1:26" ht="15.75" customHeight="1"/>
    <row r="537" spans="1:26" ht="15.75" customHeight="1"/>
    <row r="538" spans="1:26" ht="15.75" customHeight="1"/>
    <row r="539" spans="1:26" ht="15.75" customHeight="1"/>
    <row r="540" spans="1:26" ht="15.75" customHeight="1"/>
    <row r="541" spans="1:26" ht="15.75" customHeight="1"/>
    <row r="542" spans="1:26" ht="15.75" customHeight="1"/>
    <row r="543" spans="1:26" ht="15.75" customHeight="1"/>
    <row r="544" spans="1:26"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147" r:id="rId1"/>
  </hyperlinks>
  <pageMargins left="0.20330450496966571" right="0" top="0.25" bottom="0" header="0" footer="0"/>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1:A1000"/>
  <sheetViews>
    <sheetView workbookViewId="0"/>
  </sheetViews>
  <sheetFormatPr defaultColWidth="14.44140625" defaultRowHeight="15" customHeight="1"/>
  <cols>
    <col min="1" max="1" width="22" customWidth="1"/>
    <col min="2" max="2" width="34.33203125" customWidth="1"/>
    <col min="3" max="3" width="31.6640625" customWidth="1"/>
    <col min="4" max="26" width="8.66406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defaultColWidth="14.44140625" defaultRowHeight="15" customHeight="1"/>
  <cols>
    <col min="1" max="1" width="33.109375" customWidth="1"/>
    <col min="2" max="2" width="29.44140625" customWidth="1"/>
    <col min="3" max="3" width="20.44140625" customWidth="1"/>
    <col min="4" max="26" width="8.6640625" customWidth="1"/>
  </cols>
  <sheetData>
    <row r="1" spans="1:2" ht="14.4">
      <c r="A1" s="22" t="s">
        <v>1008</v>
      </c>
      <c r="B1" s="227">
        <v>6000</v>
      </c>
    </row>
    <row r="2" spans="1:2" ht="14.4">
      <c r="A2" s="22" t="s">
        <v>1009</v>
      </c>
    </row>
    <row r="3" spans="1:2" ht="14.4">
      <c r="A3" s="22" t="s">
        <v>1010</v>
      </c>
    </row>
    <row r="5" spans="1:2" ht="14.4">
      <c r="A5" s="22" t="s">
        <v>1011</v>
      </c>
      <c r="B5" s="227">
        <v>1000</v>
      </c>
    </row>
    <row r="6" spans="1:2" ht="14.4">
      <c r="A6" s="22" t="s">
        <v>1012</v>
      </c>
    </row>
    <row r="8" spans="1:2" ht="14.4">
      <c r="A8" s="22" t="s">
        <v>1013</v>
      </c>
      <c r="B8" s="227">
        <v>500</v>
      </c>
    </row>
    <row r="10" spans="1:2" ht="14.4">
      <c r="A10" s="22" t="s">
        <v>1014</v>
      </c>
      <c r="B10" s="227">
        <v>1000</v>
      </c>
    </row>
    <row r="11" spans="1:2" ht="14.4">
      <c r="A11" s="22" t="s">
        <v>1015</v>
      </c>
    </row>
    <row r="12" spans="1:2" ht="14.4">
      <c r="A12" s="22" t="s">
        <v>1016</v>
      </c>
    </row>
    <row r="13" spans="1:2" ht="14.4">
      <c r="A13" s="22" t="s">
        <v>1017</v>
      </c>
    </row>
    <row r="14" spans="1:2" ht="14.4">
      <c r="A14" s="22" t="s">
        <v>1018</v>
      </c>
    </row>
    <row r="16" spans="1:2" ht="14.4">
      <c r="A16" s="22" t="s">
        <v>1019</v>
      </c>
      <c r="B16" s="227">
        <v>7000</v>
      </c>
    </row>
    <row r="17" spans="1:1" ht="14.4">
      <c r="A17" s="22"/>
    </row>
    <row r="19" spans="1:1" ht="14.4">
      <c r="A19" s="22"/>
    </row>
    <row r="21" spans="1:1" ht="15.75" customHeight="1"/>
    <row r="22" spans="1:1" ht="15.75" customHeight="1"/>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1:A1000"/>
  <sheetViews>
    <sheetView workbookViewId="0"/>
  </sheetViews>
  <sheetFormatPr defaultColWidth="14.44140625" defaultRowHeight="15" customHeight="1"/>
  <cols>
    <col min="1" max="1" width="16.6640625" customWidth="1"/>
    <col min="2" max="2" width="20.6640625" customWidth="1"/>
    <col min="3" max="3" width="20" customWidth="1"/>
    <col min="4" max="4" width="22.44140625" customWidth="1"/>
    <col min="5" max="5" width="14.5546875" customWidth="1"/>
    <col min="6" max="6" width="16.44140625" customWidth="1"/>
    <col min="7" max="7" width="15" customWidth="1"/>
    <col min="8" max="8" width="14.109375" customWidth="1"/>
    <col min="9" max="26" width="8.66406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Fees Details</vt:lpstr>
      <vt:lpstr>Pvt Ltd Company Reg State Wise </vt:lpstr>
      <vt:lpstr>NGO Reg State Wise Fees</vt:lpstr>
      <vt:lpstr>Certifications</vt:lpstr>
      <vt:lpstr>LLP</vt:lpstr>
      <vt:lpstr>Company Services</vt:lpstr>
      <vt:lpstr>Packages</vt:lpstr>
      <vt:lpstr>ISO Rate List</vt:lpstr>
      <vt:lpstr>Updated Docx List</vt:lpstr>
      <vt:lpstr>Extra</vt:lpstr>
      <vt:lpstr>Accounting Rate List</vt:lpstr>
      <vt:lpstr>Document Details</vt:lpstr>
      <vt:lpstr>Penalty </vt:lpstr>
      <vt:lpstr>Website</vt:lpstr>
      <vt:lpstr>Annual Mandatory Filings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Abhishek</cp:lastModifiedBy>
  <dcterms:modified xsi:type="dcterms:W3CDTF">2026-10-19T22:14:00Z</dcterms:modified>
</cp:coreProperties>
</file>